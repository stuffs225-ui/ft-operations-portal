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codeName="ThisWorkbook"/>
  <xr:revisionPtr revIDLastSave="0" documentId="13_ncr:1_{32965AA5-8955-401F-90D0-A4D7AC2F2E71}" xr6:coauthVersionLast="36" xr6:coauthVersionMax="36" xr10:uidLastSave="{00000000-0000-0000-0000-000000000000}"/>
  <bookViews>
    <workbookView xWindow="0" yWindow="0" windowWidth="22260" windowHeight="12645" tabRatio="892" firstSheet="1" activeTab="1" xr2:uid="{00000000-000D-0000-FFFF-FFFF00000000}"/>
  </bookViews>
  <sheets>
    <sheet name="Under production Orders" sheetId="18" state="hidden" r:id="rId1"/>
    <sheet name="Invoicing plan 2026" sheetId="4" r:id="rId2"/>
  </sheets>
  <definedNames>
    <definedName name="_xlnm._FilterDatabase" localSheetId="1" hidden="1">'Invoicing plan 2026'!$A$1:$AC$65</definedName>
    <definedName name="POWER_USER_EXCEL_CHART_8E735768_12D9_4B1C_A965_F76E4937F5B8">#REF!</definedName>
    <definedName name="_xlnm.Print_Area" localSheetId="1">'Invoicing plan 2026'!$A$1:$AB$65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93" i="4" l="1"/>
  <c r="AD125" i="4" l="1"/>
  <c r="AF125" i="4" l="1"/>
  <c r="AE125" i="4"/>
  <c r="K48" i="4" l="1"/>
  <c r="K58" i="4"/>
  <c r="U18" i="4" l="1"/>
  <c r="V20" i="4"/>
  <c r="U48" i="4"/>
  <c r="U58" i="4"/>
  <c r="V89" i="4" l="1"/>
  <c r="X79" i="4" l="1"/>
  <c r="X84" i="4"/>
  <c r="X85" i="4"/>
  <c r="V46" i="4" l="1"/>
  <c r="O65" i="4" l="1"/>
  <c r="V40" i="4" l="1"/>
  <c r="K13" i="4" l="1"/>
  <c r="K19" i="4"/>
  <c r="K21" i="4"/>
  <c r="K22" i="4"/>
  <c r="K24" i="4"/>
  <c r="K25" i="4"/>
  <c r="K26" i="4"/>
  <c r="K27" i="4"/>
  <c r="K28" i="4"/>
  <c r="K29" i="4"/>
  <c r="K30" i="4"/>
  <c r="K31" i="4"/>
  <c r="K32" i="4"/>
  <c r="K33" i="4"/>
  <c r="K34" i="4"/>
  <c r="K35" i="4"/>
  <c r="K40" i="4"/>
  <c r="K44" i="4"/>
  <c r="K45" i="4"/>
  <c r="K46" i="4"/>
  <c r="K47" i="4"/>
  <c r="K49" i="4"/>
  <c r="K54" i="4"/>
  <c r="K64" i="4"/>
  <c r="T34" i="4"/>
  <c r="W19" i="4" l="1"/>
  <c r="V19" i="4"/>
  <c r="AF101" i="4"/>
  <c r="X83" i="4" s="1"/>
  <c r="AF100" i="4"/>
  <c r="X82" i="4" s="1"/>
  <c r="AF98" i="4"/>
  <c r="X80" i="4" s="1"/>
  <c r="AB33" i="4"/>
  <c r="AC33" i="4" s="1"/>
  <c r="AF81" i="4"/>
  <c r="AF79" i="4"/>
  <c r="AF76" i="4"/>
  <c r="AF75" i="4"/>
  <c r="AE118" i="4" l="1"/>
  <c r="AF106" i="4"/>
  <c r="AJ81" i="4"/>
  <c r="AB64" i="4"/>
  <c r="AC64" i="4" s="1"/>
  <c r="AK81" i="4" s="1"/>
  <c r="I65" i="4"/>
  <c r="R23" i="4"/>
  <c r="K23" i="4" s="1"/>
  <c r="AH106" i="4" l="1"/>
  <c r="AI106" i="4" s="1"/>
  <c r="X88" i="4"/>
  <c r="AB23" i="4"/>
  <c r="AC23" i="4" s="1"/>
  <c r="AH81" i="4"/>
  <c r="AI81" i="4" s="1"/>
  <c r="W88" i="4" s="1"/>
  <c r="AG81" i="4" l="1"/>
  <c r="AB48" i="4" l="1"/>
  <c r="AC48" i="4" s="1"/>
  <c r="Z49" i="4" l="1"/>
  <c r="AB49" i="4" l="1"/>
  <c r="AC49" i="4" l="1"/>
  <c r="AK75" i="4" s="1"/>
  <c r="AH75" i="4"/>
  <c r="AG75" i="4" s="1"/>
  <c r="AB13" i="4"/>
  <c r="AB21" i="4"/>
  <c r="AB22" i="4"/>
  <c r="AB25" i="4"/>
  <c r="AB26" i="4"/>
  <c r="AB27" i="4"/>
  <c r="AB28" i="4"/>
  <c r="AB29" i="4"/>
  <c r="AB30" i="4"/>
  <c r="AB31" i="4"/>
  <c r="AB32" i="4"/>
  <c r="AB43" i="4"/>
  <c r="AB47" i="4"/>
  <c r="AC25" i="4" l="1"/>
  <c r="AC26" i="4"/>
  <c r="AC27" i="4"/>
  <c r="AC28" i="4"/>
  <c r="AC29" i="4"/>
  <c r="AC30" i="4"/>
  <c r="AC31" i="4"/>
  <c r="AC32" i="4"/>
  <c r="AC22" i="4" l="1"/>
  <c r="Y54" i="4" l="1"/>
  <c r="AB54" i="4" s="1"/>
  <c r="AH79" i="4" s="1"/>
  <c r="AB40" i="4" l="1"/>
  <c r="AB46" i="4"/>
  <c r="S53" i="4" l="1"/>
  <c r="T53" i="4" l="1"/>
  <c r="K53" i="4" s="1"/>
  <c r="AB53" i="4" l="1"/>
  <c r="V35" i="4"/>
  <c r="AB35" i="4" s="1"/>
  <c r="AB19" i="4"/>
  <c r="T7" i="4"/>
  <c r="K7" i="4" s="1"/>
  <c r="AB7" i="4" l="1"/>
  <c r="Y24" i="4"/>
  <c r="X24" i="4"/>
  <c r="W24" i="4"/>
  <c r="J43" i="4"/>
  <c r="K43" i="4" l="1"/>
  <c r="AF99" i="4"/>
  <c r="X81" i="4" s="1"/>
  <c r="AB24" i="4"/>
  <c r="AB34" i="4"/>
  <c r="AF104" i="4" l="1"/>
  <c r="X86" i="4" s="1"/>
  <c r="J63" i="4" l="1"/>
  <c r="K63" i="4" s="1"/>
  <c r="J62" i="4"/>
  <c r="K62" i="4" s="1"/>
  <c r="J61" i="4"/>
  <c r="K61" i="4" s="1"/>
  <c r="J60" i="4"/>
  <c r="K60" i="4" s="1"/>
  <c r="J59" i="4"/>
  <c r="K59" i="4" l="1"/>
  <c r="AF80" i="4" s="1"/>
  <c r="X61" i="4"/>
  <c r="X63" i="4"/>
  <c r="X60" i="4"/>
  <c r="X59" i="4"/>
  <c r="X62" i="4"/>
  <c r="AF105" i="4"/>
  <c r="AF118" i="4" l="1"/>
  <c r="X87" i="4"/>
  <c r="X89" i="4" s="1"/>
  <c r="AB62" i="4"/>
  <c r="AC62" i="4" s="1"/>
  <c r="AB59" i="4"/>
  <c r="AB60" i="4"/>
  <c r="AC60" i="4" s="1"/>
  <c r="AB63" i="4"/>
  <c r="AC63" i="4" s="1"/>
  <c r="AB61" i="4"/>
  <c r="AC61" i="4" s="1"/>
  <c r="AJ80" i="4"/>
  <c r="AH105" i="4"/>
  <c r="AI105" i="4" s="1"/>
  <c r="T14" i="4"/>
  <c r="K14" i="4" s="1"/>
  <c r="AC59" i="4" l="1"/>
  <c r="AK80" i="4" s="1"/>
  <c r="AH80" i="4"/>
  <c r="AI80" i="4" s="1"/>
  <c r="W87" i="4" s="1"/>
  <c r="AB14" i="4"/>
  <c r="AG80" i="4" l="1"/>
  <c r="AJ79" i="4"/>
  <c r="AC54" i="4"/>
  <c r="AK79" i="4" s="1"/>
  <c r="AH104" i="4"/>
  <c r="AI104" i="4" s="1"/>
  <c r="AI79" i="4" l="1"/>
  <c r="W86" i="4" s="1"/>
  <c r="AG79" i="4"/>
  <c r="S38" i="4" l="1"/>
  <c r="K38" i="4" s="1"/>
  <c r="R39" i="4"/>
  <c r="R41" i="4"/>
  <c r="K41" i="4" s="1"/>
  <c r="S50" i="4"/>
  <c r="K50" i="4" s="1"/>
  <c r="AB50" i="4" l="1"/>
  <c r="AH99" i="4"/>
  <c r="AI99" i="4" s="1"/>
  <c r="AC43" i="4"/>
  <c r="AG118" i="4"/>
  <c r="AI117" i="4"/>
  <c r="AI116" i="4"/>
  <c r="AI115" i="4"/>
  <c r="AI113" i="4"/>
  <c r="AI112" i="4"/>
  <c r="AI111" i="4"/>
  <c r="AH103" i="4"/>
  <c r="AI103" i="4" s="1"/>
  <c r="AH102" i="4"/>
  <c r="AI102" i="4" s="1"/>
  <c r="AH100" i="4"/>
  <c r="AI100" i="4" s="1"/>
  <c r="AH98" i="4"/>
  <c r="AI98" i="4" s="1"/>
  <c r="AH97" i="4"/>
  <c r="AI97" i="4" s="1"/>
  <c r="AE93" i="4"/>
  <c r="AJ92" i="4"/>
  <c r="AI92" i="4"/>
  <c r="AJ91" i="4"/>
  <c r="AI91" i="4"/>
  <c r="AJ90" i="4"/>
  <c r="AI90" i="4"/>
  <c r="AJ88" i="4"/>
  <c r="AI88" i="4"/>
  <c r="AJ87" i="4"/>
  <c r="AI87" i="4"/>
  <c r="AJ86" i="4"/>
  <c r="AI86" i="4"/>
  <c r="AJ84" i="4"/>
  <c r="AI84" i="4"/>
  <c r="AJ83" i="4"/>
  <c r="AI83" i="4"/>
  <c r="AJ82" i="4"/>
  <c r="AI82" i="4"/>
  <c r="AJ75" i="4"/>
  <c r="AI75" i="4"/>
  <c r="W82" i="4" s="1"/>
  <c r="AA65" i="4"/>
  <c r="AA68" i="4" s="1"/>
  <c r="Z65" i="4"/>
  <c r="Z68" i="4" s="1"/>
  <c r="Y65" i="4"/>
  <c r="Y68" i="4" s="1"/>
  <c r="J58" i="4"/>
  <c r="R57" i="4"/>
  <c r="K57" i="4" s="1"/>
  <c r="R56" i="4"/>
  <c r="K56" i="4" s="1"/>
  <c r="Q55" i="4"/>
  <c r="K55" i="4" s="1"/>
  <c r="AC53" i="4"/>
  <c r="P52" i="4"/>
  <c r="K52" i="4" s="1"/>
  <c r="J51" i="4"/>
  <c r="AC47" i="4"/>
  <c r="AC46" i="4"/>
  <c r="V45" i="4"/>
  <c r="V44" i="4"/>
  <c r="AB44" i="4" s="1"/>
  <c r="P42" i="4"/>
  <c r="K42" i="4" s="1"/>
  <c r="AC40" i="4"/>
  <c r="P39" i="4"/>
  <c r="K39" i="4" s="1"/>
  <c r="AB38" i="4"/>
  <c r="AC38" i="4" s="1"/>
  <c r="P37" i="4"/>
  <c r="K37" i="4" s="1"/>
  <c r="P36" i="4"/>
  <c r="K36" i="4" s="1"/>
  <c r="AC35" i="4"/>
  <c r="AC21" i="4"/>
  <c r="J20" i="4"/>
  <c r="K20" i="4" s="1"/>
  <c r="AC19" i="4"/>
  <c r="J18" i="4"/>
  <c r="K18" i="4" s="1"/>
  <c r="J17" i="4"/>
  <c r="K17" i="4" s="1"/>
  <c r="J16" i="4"/>
  <c r="K16" i="4" s="1"/>
  <c r="J15" i="4"/>
  <c r="AC14" i="4"/>
  <c r="J12" i="4"/>
  <c r="J11" i="4"/>
  <c r="K11" i="4" s="1"/>
  <c r="J10" i="4"/>
  <c r="K10" i="4" s="1"/>
  <c r="J9" i="4"/>
  <c r="J8" i="4"/>
  <c r="Q6" i="4"/>
  <c r="K6" i="4" s="1"/>
  <c r="Q5" i="4"/>
  <c r="K5" i="4" s="1"/>
  <c r="Q4" i="4"/>
  <c r="K4" i="4" s="1"/>
  <c r="Q3" i="4"/>
  <c r="K3" i="4" s="1"/>
  <c r="Q2" i="4"/>
  <c r="K2" i="4" s="1"/>
  <c r="R101" i="18"/>
  <c r="R100" i="18"/>
  <c r="R99" i="18"/>
  <c r="R98" i="18"/>
  <c r="R97" i="18"/>
  <c r="R96" i="18"/>
  <c r="R95" i="18"/>
  <c r="R94" i="18"/>
  <c r="R93" i="18"/>
  <c r="R92" i="18"/>
  <c r="R91" i="18"/>
  <c r="R90" i="18"/>
  <c r="R89" i="18"/>
  <c r="R88" i="18"/>
  <c r="R83" i="18"/>
  <c r="R82" i="18"/>
  <c r="R81" i="18"/>
  <c r="R80" i="18"/>
  <c r="R79" i="18"/>
  <c r="R78" i="18"/>
  <c r="R77" i="18"/>
  <c r="R76" i="18"/>
  <c r="R75" i="18"/>
  <c r="AM68" i="18"/>
  <c r="AM67" i="18"/>
  <c r="AM66" i="18"/>
  <c r="AM65" i="18"/>
  <c r="AM64" i="18"/>
  <c r="AK64" i="18"/>
  <c r="AM63" i="18"/>
  <c r="AL63" i="18"/>
  <c r="AK63" i="18"/>
  <c r="AM62" i="18"/>
  <c r="AL62" i="18"/>
  <c r="AM61" i="18"/>
  <c r="AK61" i="18"/>
  <c r="AM60" i="18"/>
  <c r="AK60" i="18"/>
  <c r="AM59" i="18"/>
  <c r="AK59" i="18"/>
  <c r="AM58" i="18"/>
  <c r="AM57" i="18"/>
  <c r="AL57" i="18"/>
  <c r="AM56" i="18"/>
  <c r="AM55" i="18"/>
  <c r="AK55" i="18"/>
  <c r="AM54" i="18"/>
  <c r="AM53" i="18"/>
  <c r="AM52" i="18"/>
  <c r="AL52" i="18"/>
  <c r="AM51" i="18"/>
  <c r="AL51" i="18"/>
  <c r="AK51" i="18"/>
  <c r="AM50" i="18"/>
  <c r="AK50" i="18"/>
  <c r="AM49" i="18"/>
  <c r="AL49" i="18"/>
  <c r="AK49" i="18"/>
  <c r="AM48" i="18"/>
  <c r="AK48" i="18"/>
  <c r="AM47" i="18"/>
  <c r="AL47" i="18"/>
  <c r="AM46" i="18"/>
  <c r="AM45" i="18"/>
  <c r="AM44" i="18"/>
  <c r="AL44" i="18"/>
  <c r="AM43" i="18"/>
  <c r="AL43" i="18"/>
  <c r="AM42" i="18"/>
  <c r="AM41" i="18"/>
  <c r="AK41" i="18"/>
  <c r="AM40" i="18"/>
  <c r="AM39" i="18"/>
  <c r="AM38" i="18"/>
  <c r="AM37" i="18"/>
  <c r="AM36" i="18"/>
  <c r="AM35" i="18"/>
  <c r="AM34" i="18"/>
  <c r="AM33" i="18"/>
  <c r="AM32" i="18"/>
  <c r="AM31" i="18"/>
  <c r="AK31" i="18"/>
  <c r="AM30" i="18"/>
  <c r="AK30" i="18"/>
  <c r="AM29" i="18"/>
  <c r="AK29" i="18"/>
  <c r="AM28" i="18"/>
  <c r="AK28" i="18"/>
  <c r="AM27" i="18"/>
  <c r="AM26" i="18"/>
  <c r="AM25" i="18"/>
  <c r="AL25" i="18"/>
  <c r="AK25" i="18"/>
  <c r="AM24" i="18"/>
  <c r="AL24" i="18"/>
  <c r="AK24" i="18"/>
  <c r="AM23" i="18"/>
  <c r="AK23" i="18"/>
  <c r="AM22" i="18"/>
  <c r="AL22" i="18"/>
  <c r="AK22" i="18"/>
  <c r="AM21" i="18"/>
  <c r="AM20" i="18"/>
  <c r="AL20" i="18"/>
  <c r="AK20" i="18"/>
  <c r="AM19" i="18"/>
  <c r="AL19" i="18"/>
  <c r="AM18" i="18"/>
  <c r="AL18" i="18"/>
  <c r="AM17" i="18"/>
  <c r="AL17" i="18"/>
  <c r="AM16" i="18"/>
  <c r="AL16" i="18"/>
  <c r="AK16" i="18"/>
  <c r="AM15" i="18"/>
  <c r="AL15" i="18"/>
  <c r="AK15" i="18"/>
  <c r="AM14" i="18"/>
  <c r="AL14" i="18"/>
  <c r="AK14" i="18"/>
  <c r="AM13" i="18"/>
  <c r="AL13" i="18"/>
  <c r="AM12" i="18"/>
  <c r="AL12" i="18"/>
  <c r="AM11" i="18"/>
  <c r="AL11" i="18"/>
  <c r="AM10" i="18"/>
  <c r="AL10" i="18"/>
  <c r="AM9" i="18"/>
  <c r="AL9" i="18"/>
  <c r="AK9" i="18"/>
  <c r="AM8" i="18"/>
  <c r="AM7" i="18"/>
  <c r="AM6" i="18"/>
  <c r="AL6" i="18"/>
  <c r="AM5" i="18"/>
  <c r="AL5" i="18"/>
  <c r="AM4" i="18"/>
  <c r="AL4" i="18"/>
  <c r="AM3" i="18"/>
  <c r="AL3" i="18"/>
  <c r="AM2" i="18"/>
  <c r="AL2" i="18"/>
  <c r="J65" i="4" l="1"/>
  <c r="W9" i="4"/>
  <c r="V9" i="4"/>
  <c r="AF74" i="4"/>
  <c r="X8" i="4"/>
  <c r="W8" i="4"/>
  <c r="K8" i="4"/>
  <c r="J68" i="4"/>
  <c r="K9" i="4"/>
  <c r="K12" i="4"/>
  <c r="X12" i="4"/>
  <c r="AB12" i="4" s="1"/>
  <c r="AC12" i="4" s="1"/>
  <c r="AF78" i="4"/>
  <c r="P51" i="4"/>
  <c r="K51" i="4" s="1"/>
  <c r="AF77" i="4" s="1"/>
  <c r="X11" i="4"/>
  <c r="AB11" i="4" s="1"/>
  <c r="AC11" i="4" s="1"/>
  <c r="X10" i="4"/>
  <c r="AB10" i="4" s="1"/>
  <c r="AC10" i="4" s="1"/>
  <c r="AB45" i="4"/>
  <c r="AH76" i="4" s="1"/>
  <c r="AC50" i="4"/>
  <c r="AC13" i="4"/>
  <c r="W16" i="4"/>
  <c r="W17" i="4"/>
  <c r="AB55" i="4"/>
  <c r="AB5" i="4"/>
  <c r="AC5" i="4" s="1"/>
  <c r="AB36" i="4"/>
  <c r="AB6" i="4"/>
  <c r="AC6" i="4" s="1"/>
  <c r="AB57" i="4"/>
  <c r="AC57" i="4" s="1"/>
  <c r="AB2" i="4"/>
  <c r="AB3" i="4"/>
  <c r="AB52" i="4"/>
  <c r="AC52" i="4" s="1"/>
  <c r="AB4" i="4"/>
  <c r="AC4" i="4" s="1"/>
  <c r="AB42" i="4"/>
  <c r="AC42" i="4" s="1"/>
  <c r="AB37" i="4"/>
  <c r="AC37" i="4" s="1"/>
  <c r="AB39" i="4"/>
  <c r="AC39" i="4" s="1"/>
  <c r="AB56" i="4"/>
  <c r="AC56" i="4" s="1"/>
  <c r="R65" i="4"/>
  <c r="T15" i="4"/>
  <c r="K15" i="4" s="1"/>
  <c r="AF73" i="4" s="1"/>
  <c r="AB41" i="4"/>
  <c r="AC41" i="4" s="1"/>
  <c r="AC7" i="4"/>
  <c r="Q65" i="4"/>
  <c r="Q68" i="4" s="1"/>
  <c r="AJ76" i="4"/>
  <c r="AC24" i="4"/>
  <c r="AH101" i="4"/>
  <c r="AI101" i="4" s="1"/>
  <c r="V8" i="4"/>
  <c r="AC44" i="4"/>
  <c r="AF72" i="4" l="1"/>
  <c r="X71" i="4" s="1"/>
  <c r="AB51" i="4"/>
  <c r="AC51" i="4" s="1"/>
  <c r="AK77" i="4" s="1"/>
  <c r="AC55" i="4"/>
  <c r="P65" i="4"/>
  <c r="P68" i="4" s="1"/>
  <c r="AH74" i="4"/>
  <c r="AG74" i="4" s="1"/>
  <c r="K65" i="4"/>
  <c r="K68" i="4" s="1"/>
  <c r="AC3" i="4"/>
  <c r="AJ77" i="4"/>
  <c r="AB20" i="4"/>
  <c r="AC20" i="4" s="1"/>
  <c r="AB15" i="4"/>
  <c r="AB8" i="4"/>
  <c r="AC8" i="4" s="1"/>
  <c r="AB16" i="4"/>
  <c r="AC16" i="4" s="1"/>
  <c r="AB9" i="4"/>
  <c r="AC9" i="4" s="1"/>
  <c r="AB17" i="4"/>
  <c r="AC17" i="4" s="1"/>
  <c r="AC2" i="4"/>
  <c r="AC45" i="4"/>
  <c r="AK76" i="4" s="1"/>
  <c r="AB18" i="4"/>
  <c r="AC18" i="4" s="1"/>
  <c r="AB58" i="4"/>
  <c r="AH78" i="4" s="1"/>
  <c r="AC36" i="4"/>
  <c r="W65" i="4"/>
  <c r="W68" i="4" s="1"/>
  <c r="X65" i="4"/>
  <c r="X68" i="4" s="1"/>
  <c r="AJ73" i="4"/>
  <c r="V65" i="4"/>
  <c r="V68" i="4" s="1"/>
  <c r="AJ74" i="4"/>
  <c r="S65" i="4"/>
  <c r="S68" i="4" s="1"/>
  <c r="AH118" i="4"/>
  <c r="AI118" i="4" s="1"/>
  <c r="T65" i="4"/>
  <c r="T68" i="4" s="1"/>
  <c r="AG76" i="4"/>
  <c r="R68" i="4"/>
  <c r="AI76" i="4"/>
  <c r="W83" i="4" s="1"/>
  <c r="AH77" i="4" l="1"/>
  <c r="AI77" i="4" s="1"/>
  <c r="W84" i="4" s="1"/>
  <c r="AK72" i="4"/>
  <c r="AH72" i="4"/>
  <c r="N67" i="4"/>
  <c r="M65" i="4" s="1"/>
  <c r="AH73" i="4"/>
  <c r="AG73" i="4" s="1"/>
  <c r="AI78" i="4"/>
  <c r="W85" i="4" s="1"/>
  <c r="AB65" i="4"/>
  <c r="AC58" i="4"/>
  <c r="AK78" i="4" s="1"/>
  <c r="AC15" i="4"/>
  <c r="AK73" i="4" s="1"/>
  <c r="AF93" i="4"/>
  <c r="AJ93" i="4" s="1"/>
  <c r="AG78" i="4"/>
  <c r="AJ78" i="4"/>
  <c r="AJ72" i="4"/>
  <c r="AG77" i="4" l="1"/>
  <c r="AI73" i="4"/>
  <c r="W80" i="4" s="1"/>
  <c r="AH93" i="4"/>
  <c r="AG72" i="4"/>
  <c r="AI72" i="4"/>
  <c r="W79" i="4" s="1"/>
  <c r="X74" i="4" l="1"/>
  <c r="U65" i="4"/>
  <c r="U68" i="4" s="1"/>
  <c r="AC34" i="4"/>
  <c r="AC65" i="4" s="1"/>
  <c r="AC68" i="4" l="1"/>
  <c r="AK74" i="4"/>
  <c r="AK93" i="4" s="1"/>
  <c r="AB68" i="4"/>
  <c r="AI93" i="4" l="1"/>
  <c r="AI74" i="4"/>
  <c r="W81" i="4" s="1"/>
  <c r="AG9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42" authorId="0" shapeId="0" xr:uid="{E93C33A6-F7BA-4DB1-806F-32211D9376F4}">
      <text>
        <r>
          <rPr>
            <b/>
            <sz val="9"/>
            <color indexed="81"/>
            <rFont val="Tahoma"/>
            <family val="2"/>
          </rPr>
          <t>Author:</t>
        </r>
        <r>
          <rPr>
            <sz val="9"/>
            <color indexed="81"/>
            <rFont val="Tahoma"/>
            <family val="2"/>
          </rPr>
          <t xml:space="preserve">
ETA from JED | Awaiting Dubai to send the kits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42" authorId="0" shapeId="0" xr:uid="{0929C54F-DD0F-47B9-B158-4A7D28B828AD}">
      <text>
        <r>
          <rPr>
            <b/>
            <sz val="9"/>
            <color indexed="81"/>
            <rFont val="Tahoma"/>
            <family val="2"/>
          </rPr>
          <t>Author:</t>
        </r>
        <r>
          <rPr>
            <sz val="9"/>
            <color indexed="81"/>
            <rFont val="Tahoma"/>
            <family val="2"/>
          </rPr>
          <t xml:space="preserve">
Still Not invoicied in the sysyerm only MDN</t>
        </r>
      </text>
    </comment>
    <comment ref="P42" authorId="0" shapeId="0" xr:uid="{DED154A1-EB4B-4561-A9C9-28936DCC860B}">
      <text>
        <r>
          <rPr>
            <b/>
            <sz val="9"/>
            <color indexed="81"/>
            <rFont val="Tahoma"/>
            <family val="2"/>
          </rPr>
          <t>Author:</t>
        </r>
        <r>
          <rPr>
            <sz val="9"/>
            <color indexed="81"/>
            <rFont val="Tahoma"/>
            <family val="2"/>
          </rPr>
          <t xml:space="preserve">
Still Not invoicied in the sysyerm only MDN</t>
        </r>
      </text>
    </comment>
    <comment ref="O51" authorId="0" shapeId="0" xr:uid="{3194A044-296D-40FC-8B64-213F843F78FF}">
      <text>
        <r>
          <rPr>
            <b/>
            <sz val="9"/>
            <color indexed="81"/>
            <rFont val="Tahoma"/>
            <family val="2"/>
          </rPr>
          <t>Author:</t>
        </r>
        <r>
          <rPr>
            <sz val="9"/>
            <color indexed="81"/>
            <rFont val="Tahoma"/>
            <family val="2"/>
          </rPr>
          <t xml:space="preserve">
Still Not invoicied in the sysyerm only MDN</t>
        </r>
      </text>
    </comment>
    <comment ref="P51" authorId="0" shapeId="0" xr:uid="{0E68AF62-1C13-4FE6-A22C-60780DFA16B7}">
      <text>
        <r>
          <rPr>
            <b/>
            <sz val="9"/>
            <color indexed="81"/>
            <rFont val="Tahoma"/>
            <family val="2"/>
          </rPr>
          <t>Author:</t>
        </r>
        <r>
          <rPr>
            <sz val="9"/>
            <color indexed="81"/>
            <rFont val="Tahoma"/>
            <family val="2"/>
          </rPr>
          <t xml:space="preserve">
Still Not invoicied in the sysyerm only MDN</t>
        </r>
      </text>
    </comment>
  </commentList>
</comments>
</file>

<file path=xl/sharedStrings.xml><?xml version="1.0" encoding="utf-8"?>
<sst xmlns="http://schemas.openxmlformats.org/spreadsheetml/2006/main" count="1138" uniqueCount="461">
  <si>
    <t>No.</t>
  </si>
  <si>
    <t>Customer</t>
  </si>
  <si>
    <t>JOH</t>
  </si>
  <si>
    <t>Total Value</t>
  </si>
  <si>
    <t>Pending Value</t>
  </si>
  <si>
    <t>JANUARY</t>
  </si>
  <si>
    <t>FEBRUARY</t>
  </si>
  <si>
    <t>MARCH</t>
  </si>
  <si>
    <t>APRIL</t>
  </si>
  <si>
    <t>MAY</t>
  </si>
  <si>
    <t>JUNE</t>
  </si>
  <si>
    <t>JULY</t>
  </si>
  <si>
    <t>AUGUST</t>
  </si>
  <si>
    <t>SEPTEMBER</t>
  </si>
  <si>
    <t>OCTOBER</t>
  </si>
  <si>
    <t>NOVEMBER</t>
  </si>
  <si>
    <t>DECEMBER</t>
  </si>
  <si>
    <t xml:space="preserve">Total </t>
  </si>
  <si>
    <t>Total Pending</t>
  </si>
  <si>
    <t>Done by</t>
  </si>
  <si>
    <t>SAR</t>
  </si>
  <si>
    <t>AMC-3 years ambulances</t>
  </si>
  <si>
    <t>AMC-3 years firetrucks</t>
  </si>
  <si>
    <t>Cluster2</t>
  </si>
  <si>
    <t>SRCA</t>
  </si>
  <si>
    <t>Dr. Sulaiman Al Habib Hospital</t>
  </si>
  <si>
    <t>Type I ambulance on Ford</t>
  </si>
  <si>
    <t>NFPA 1917</t>
  </si>
  <si>
    <t xml:space="preserve">SICLI - TAX PROJECT </t>
  </si>
  <si>
    <t>KFSHRC - RIYADH</t>
  </si>
  <si>
    <t>Hazmat &amp; Hazard</t>
  </si>
  <si>
    <t>AMBULANCE VEHICLE TYPE II</t>
  </si>
  <si>
    <t xml:space="preserve">King Faisal Specialist Hospital </t>
  </si>
  <si>
    <t>MEENA HEALTH</t>
  </si>
  <si>
    <t xml:space="preserve">Saudi Royal Air Dfense </t>
  </si>
  <si>
    <t>Navy</t>
  </si>
  <si>
    <t>Saudi Air forces</t>
  </si>
  <si>
    <t>MBL(Dairiah Farm)</t>
  </si>
  <si>
    <t>RIV</t>
  </si>
  <si>
    <t>Medical Item</t>
  </si>
  <si>
    <t xml:space="preserve">KING FAHAD UNIVERSITY </t>
  </si>
  <si>
    <t xml:space="preserve">KING FAHD MILITRY MEDCIAL COMPLEX DHAHRAN </t>
  </si>
  <si>
    <t>Fire truck</t>
  </si>
  <si>
    <t>Blood bank - Almadinah</t>
  </si>
  <si>
    <t>Al-Fanar</t>
  </si>
  <si>
    <t>Type I Ambulance (NF-AMB-TI/GMC)</t>
  </si>
  <si>
    <t>Target</t>
  </si>
  <si>
    <t>%</t>
  </si>
  <si>
    <t>Nader</t>
  </si>
  <si>
    <t>Duha</t>
  </si>
  <si>
    <t>Ayman</t>
  </si>
  <si>
    <t>Zohairy</t>
  </si>
  <si>
    <t>Abdulla</t>
  </si>
  <si>
    <t>Dept.</t>
  </si>
  <si>
    <t>Target (SO)</t>
  </si>
  <si>
    <t>RIV(2)</t>
  </si>
  <si>
    <t>-</t>
  </si>
  <si>
    <t>KAMC</t>
  </si>
  <si>
    <t>SRCA - Ambulances</t>
  </si>
  <si>
    <t>Nupco - 57 ambulances</t>
  </si>
  <si>
    <t>Afras - Custom project</t>
  </si>
  <si>
    <t>Combined Fire &amp; Rescue Vehicle</t>
  </si>
  <si>
    <t>Obada</t>
  </si>
  <si>
    <t>Hatem</t>
  </si>
  <si>
    <t>QTY</t>
  </si>
  <si>
    <t>Light Rescue Vehicle</t>
  </si>
  <si>
    <t>Water Tanker</t>
  </si>
  <si>
    <t xml:space="preserve">Rapid Intervention Vehicle </t>
  </si>
  <si>
    <t xml:space="preserve">Hazmat Vehicle </t>
  </si>
  <si>
    <t xml:space="preserve">FIRE FIGHTING &amp; RESCUE VEHICLE </t>
  </si>
  <si>
    <t xml:space="preserve">RailRoad Type I  ambulance </t>
  </si>
  <si>
    <t xml:space="preserve">4x4 Ambulance </t>
  </si>
  <si>
    <t xml:space="preserve">Mobile blood donation unit </t>
  </si>
  <si>
    <t xml:space="preserve">Aerial basket IVECO </t>
  </si>
  <si>
    <t>Fire truck - MAN 4x2</t>
  </si>
  <si>
    <t>Type II ambulances</t>
  </si>
  <si>
    <t>Type II Ambulance</t>
  </si>
  <si>
    <t>DENTAL CLINIC</t>
  </si>
  <si>
    <t>Type I Ambulance</t>
  </si>
  <si>
    <t xml:space="preserve">HAZAMT VEHICLE </t>
  </si>
  <si>
    <t>LIGHT RESCUE VEHICLES - FORD F550</t>
  </si>
  <si>
    <t>WATER TANKERS - IVECO</t>
  </si>
  <si>
    <t>COMBINED VEHICLES - Mercedes</t>
  </si>
  <si>
    <t xml:space="preserve">Nupco - Al Qassem - مستشفى الملك عبدالله </t>
  </si>
  <si>
    <t>Supply of Medical Items</t>
  </si>
  <si>
    <t xml:space="preserve">Nupco - Makkah- مستشفى قوى الامن </t>
  </si>
  <si>
    <t>Nupco - Riyadh - مدينة الملك عبدالعزيز</t>
  </si>
  <si>
    <t xml:space="preserve">Nupco - maddinah - مستشفى الامير محمد </t>
  </si>
  <si>
    <t xml:space="preserve">Nupco - Jizan - Jizan University </t>
  </si>
  <si>
    <t>Zahrat Al Amaal</t>
  </si>
  <si>
    <t>Ambulance Type II(2)</t>
  </si>
  <si>
    <t xml:space="preserve">Acwa Power </t>
  </si>
  <si>
    <t>F.F truck</t>
  </si>
  <si>
    <t xml:space="preserve">Ambulance </t>
  </si>
  <si>
    <t xml:space="preserve">Redsea Terminal </t>
  </si>
  <si>
    <t xml:space="preserve">ADFA Contracting Jazan </t>
  </si>
  <si>
    <t xml:space="preserve">Firefighting Suits </t>
  </si>
  <si>
    <t>KFSH</t>
  </si>
  <si>
    <t xml:space="preserve">Imam Abdulrahman Al Faisal Hospital - Dhahran </t>
  </si>
  <si>
    <t>Ossama</t>
  </si>
  <si>
    <t>Electrical ambulance</t>
  </si>
  <si>
    <t>Baqir</t>
  </si>
  <si>
    <t>Asad</t>
  </si>
  <si>
    <t>Muhannad</t>
  </si>
  <si>
    <t>Maintenance Dept.</t>
  </si>
  <si>
    <t>ASD Dept.</t>
  </si>
  <si>
    <t>Hafiz</t>
  </si>
  <si>
    <t>Omar</t>
  </si>
  <si>
    <t xml:space="preserve">King Salman Hospital -Taif </t>
  </si>
  <si>
    <t>Ambulance</t>
  </si>
  <si>
    <t>Sicli - RIV</t>
  </si>
  <si>
    <t>Rahaf</t>
  </si>
  <si>
    <t>Khaled</t>
  </si>
  <si>
    <t>NEW</t>
  </si>
  <si>
    <t>Osama</t>
  </si>
  <si>
    <t>#</t>
  </si>
  <si>
    <t>Al-Jazerah / john hopkins aramco</t>
  </si>
  <si>
    <t>Type I ambulances</t>
  </si>
  <si>
    <t>Amal hospital - Tabouk</t>
  </si>
  <si>
    <t>KAH - AlHasa</t>
  </si>
  <si>
    <t>JEDCO</t>
  </si>
  <si>
    <t>MOD / prince Sattam University - Nupco Alkharj</t>
  </si>
  <si>
    <t>Abdullah</t>
  </si>
  <si>
    <t>Royal air defense</t>
  </si>
  <si>
    <t>water tanker (18,000 Ltrs)</t>
  </si>
  <si>
    <t>RIV F-550</t>
  </si>
  <si>
    <t>Delivery based on the contract</t>
  </si>
  <si>
    <t>Delivered, May 2025</t>
  </si>
  <si>
    <t xml:space="preserve">Nupco - Al Jubail - الهيئة الملكية </t>
  </si>
  <si>
    <t>Prototype, 1-May-2025
2 Units, 28-Jun-2025
3 Units, 28-Jul-2025
4 Units, 28Aug-2025
5 Units, 28-Sep-2025
5 Units, 28-Oct-2025</t>
  </si>
  <si>
    <t>3 Units,12-Dec-2025
3 Units, 12-Feb-2026
3 Units, 13-Apr-2026</t>
  </si>
  <si>
    <t>5 Units,12-Dec-2025
5 Units, 12-Feb-2026
10Units, 13-Apr-2026</t>
  </si>
  <si>
    <t>2 Units,12-Dec-2025
 3 Units, 12-Feb-2026
2 Units, 13-Apr-2026</t>
  </si>
  <si>
    <t xml:space="preserve"> Security Forces Hospital</t>
  </si>
  <si>
    <t>SASO issue</t>
  </si>
  <si>
    <t>Almoosa Health</t>
  </si>
  <si>
    <t>Team one company for ambulance services</t>
  </si>
  <si>
    <t>Capital Ambulance For Medical services</t>
  </si>
  <si>
    <t>The vehicle in factory,
 waiting for the client’s payment.
28/1/2025</t>
  </si>
  <si>
    <t>Electrical Str.</t>
  </si>
  <si>
    <t>Sector</t>
  </si>
  <si>
    <t>Semi-Gov.</t>
  </si>
  <si>
    <t>Gov.</t>
  </si>
  <si>
    <t>SO number</t>
  </si>
  <si>
    <t>Total Value + VAT</t>
  </si>
  <si>
    <t>1605/1606</t>
  </si>
  <si>
    <t>TOTAL</t>
  </si>
  <si>
    <r>
      <t xml:space="preserve">EXPORT 
</t>
    </r>
    <r>
      <rPr>
        <b/>
        <sz val="14"/>
        <color theme="1"/>
        <rFont val="Calibri"/>
        <family val="2"/>
        <scheme val="minor"/>
      </rPr>
      <t xml:space="preserve">(Huthaifa &amp; Mohamad) </t>
    </r>
  </si>
  <si>
    <t>PO#</t>
  </si>
  <si>
    <t>LOCAL</t>
  </si>
  <si>
    <t>Proj. No</t>
  </si>
  <si>
    <t>Private</t>
  </si>
  <si>
    <t>factory postpone to jan 2026</t>
  </si>
  <si>
    <t xml:space="preserve"> </t>
  </si>
  <si>
    <t>ASD</t>
  </si>
  <si>
    <t xml:space="preserve">Statues </t>
  </si>
  <si>
    <t>In Progress</t>
  </si>
  <si>
    <t>Dubai</t>
  </si>
  <si>
    <t>Completed</t>
  </si>
  <si>
    <t>Done we receive</t>
  </si>
  <si>
    <t>Not received from supplier (From LC 2.5 M</t>
  </si>
  <si>
    <t>PO to Dubai as instruction</t>
  </si>
  <si>
    <t>Dam 
(Soliman hassan)</t>
  </si>
  <si>
    <t xml:space="preserve">2 units receved in KSA from DXB  </t>
  </si>
  <si>
    <t xml:space="preserve">4 units already delivered </t>
  </si>
  <si>
    <t xml:space="preserve">PO raised for the chassis and ETA for the chassis in October </t>
  </si>
  <si>
    <t xml:space="preserve">Not received from supplier (pending LC 18M)
Not received from supplier waiting ETA </t>
  </si>
  <si>
    <t xml:space="preserve">Not received from supplier (From LC 2.5 M
LIFEPAK 1000 Defibrillator, Standard Accessories and Defib Pads for Adult/Paediatric/Infant	
7,500.00 ر.س.‏
	3 remaining material
</t>
  </si>
  <si>
    <t xml:space="preserve">Not received from supplier (From LC 2.5 M
LIFEPAK 1000 Defibrillator, Standard Accessories and Defib Pads for Adult/Paediatric/Infant	
7,500.00 ر.س.‏
	2 remaining material
</t>
  </si>
  <si>
    <t>Based on Luay Update on 22/6:
1 unit will be delivered this month
2 boxes in July
5 boxes in August
7 boxes in September</t>
  </si>
  <si>
    <t>Based on Luay Update on 24/6:
The units have been ready for a long time, but the client requested several revisions for the sign writing. The sign writing was approved last Friday, and we will ship the units once the signwriting is finished.</t>
  </si>
  <si>
    <t xml:space="preserve"> 1st week of July will be ready for shipping</t>
  </si>
  <si>
    <t xml:space="preserve">Chassis will be received on Oct </t>
  </si>
  <si>
    <t>Oct,  in discussion  to make it before August</t>
  </si>
  <si>
    <t>Yousef Ali, 6/18 :Received Performa invoice from supplier to start LC.</t>
  </si>
  <si>
    <t>Al Jeel Medical
PO#6551</t>
  </si>
  <si>
    <t>Cancel the PO and revise the PR and revise PO</t>
  </si>
  <si>
    <t>Al Jeel Medical 
PO#5835</t>
  </si>
  <si>
    <t>Al Jeel Medical 
PO#6315</t>
  </si>
  <si>
    <t>103022/102943</t>
  </si>
  <si>
    <t>NO of Delevried</t>
  </si>
  <si>
    <t xml:space="preserve">To be confirmed once we finish the shipping documentation  </t>
  </si>
  <si>
    <t>Unit almost ready. SRCA approval received  and we will start with documentation for shipping</t>
  </si>
  <si>
    <t xml:space="preserve">Chassis received </t>
  </si>
  <si>
    <t xml:space="preserve">Waiting for the X-ray machine </t>
  </si>
  <si>
    <t>waiting the factory check from the clinet</t>
  </si>
  <si>
    <t>last 2 in the RUH factory to be delivered, "insurance"</t>
  </si>
  <si>
    <t>Al Jeel PO#6555</t>
  </si>
  <si>
    <t>Al Jeel PO#5835</t>
  </si>
  <si>
    <t>Al Jeel PO#5727</t>
  </si>
  <si>
    <t>Al Jeel PO#5725</t>
  </si>
  <si>
    <t>Al Jeel PO#6315</t>
  </si>
  <si>
    <t>17 Units delivered, 10 in RUH Waiting 2nd payment</t>
  </si>
  <si>
    <t>Oct</t>
  </si>
  <si>
    <t>Qty: 50
1- Accuvac Pro Portable Suction
Qty: 200
2- Head Immobilizer Complete Set
Qty:25
3- Stryker MX-PRO R3 X-Frame Amb Cot</t>
  </si>
  <si>
    <t>Qty: 3
1. LIFEPAK 1000 Defibrillator</t>
  </si>
  <si>
    <t>Qty: 2
1. LIFEPAK 1000 Defibrillator</t>
  </si>
  <si>
    <t>Qty: 1 
1. Power Load System</t>
  </si>
  <si>
    <t>Qty: 4
1. Power Load System
2. Stryker POWER-PRO XT Cot</t>
  </si>
  <si>
    <t>Qty: 3
1. Chest Compression Machine</t>
  </si>
  <si>
    <t>NESMA</t>
  </si>
  <si>
    <t>Dubai Remarks</t>
  </si>
  <si>
    <t>2 units will be ready for FAT 25 Sep 2025
3 units will be ready for FAT 25 Oct 2025
4 units will be ready for FAT 10 Dec 2025</t>
  </si>
  <si>
    <t>2 units will be ready for FAT by 25 Sep 2025
3 units will be ready for FAT by 25 Oct 2025
4 units will be ready for FAT by 10 Dec 2025</t>
  </si>
  <si>
    <t>5 units will be ready for FAT by 25 Sep 2025
5 units will be ready for FAT by 25 Oct  2025
10 units will be ready for FAT by 10 Dec 2025</t>
  </si>
  <si>
    <t>Chassis will be received Mid of AUG
3 units will be ready for FAT by 25 Sep 2025
4 units will be ready for FAT by 30 Oct 2025</t>
  </si>
  <si>
    <t>Units will be ready by Nov 2025</t>
  </si>
  <si>
    <t xml:space="preserve">Delivered </t>
  </si>
  <si>
    <t>units will be shipped by 11 or 14 July 2025</t>
  </si>
  <si>
    <t>unit will be ready for FAT by 10 Aug 2025</t>
  </si>
  <si>
    <t>Units delivery is on Januray 2026</t>
  </si>
  <si>
    <t>Unit will be ready for delivery on Oct 2025</t>
  </si>
  <si>
    <t>Units will be arranged for delivery by this week. Awaiting RTA inspection (expected by tommorow)</t>
  </si>
  <si>
    <t xml:space="preserve">9 kits delivered </t>
  </si>
  <si>
    <t>units expected to be ready for delivery on SEP</t>
  </si>
  <si>
    <t>This subcontractor is working in KSA with Palfinger. According to the supplier, the unit will be ready in one week, and they are requesting payment.
Our purchasing team has already informed the KSA purchasing team to process the payment.</t>
  </si>
  <si>
    <t>under process. Units will be ready by Oct 2025</t>
  </si>
  <si>
    <t>Units is ready just awaiting the side and rear glass to deliver the unit. ETA for the glass next week</t>
  </si>
  <si>
    <t>Awaiting chassis. Unit suppose to be ready end of AUG</t>
  </si>
  <si>
    <t xml:space="preserve">2  units ready for shipment </t>
  </si>
  <si>
    <t xml:space="preserve">units is ready for shipping  only pending some materials </t>
  </si>
  <si>
    <t>Unit will be arranged for delivery on Dec-25</t>
  </si>
  <si>
    <t>The unit will be ready for FAT on 10 August 2025. If no FAT is required, we will ship the unit after 10 August 2025.</t>
  </si>
  <si>
    <t>48 kits have been delivered.
3 units have been delivered.
6 units are nearly ready, and we will arrange shipping soon.
 materials are still pending for all delivered units.</t>
  </si>
  <si>
    <t xml:space="preserve">1 unit is ready for delivery with pending materials
2 boxes under process  to be finished on This month
5 units row materials are ready for shipping </t>
  </si>
  <si>
    <t>Delivered</t>
  </si>
  <si>
    <t>JED Remarks</t>
  </si>
  <si>
    <t>6342  / WO # 25616597</t>
  </si>
  <si>
    <t>25-Sep-2025
25-Oct-2025
25-Dec-2025</t>
  </si>
  <si>
    <t>25-Sep-2025
25-Oct-2025</t>
  </si>
  <si>
    <t>Januray 2026</t>
  </si>
  <si>
    <t>SASO Issue Solved</t>
  </si>
  <si>
    <t>Delivered to JED</t>
  </si>
  <si>
    <t>waiting 2 strechers from Al Jeel PO# 5561</t>
  </si>
  <si>
    <t>10-SEP-2025
based on al Jeel ETA</t>
  </si>
  <si>
    <t>FAT  10 Aug 2025</t>
  </si>
  <si>
    <t xml:space="preserve">ASD </t>
  </si>
  <si>
    <t>Delivared</t>
  </si>
  <si>
    <t>Irfan Nothing invoiced waiting update</t>
  </si>
  <si>
    <t>Waiting the PO to be sent to Dubai</t>
  </si>
  <si>
    <t>Delivered May - 25</t>
  </si>
  <si>
    <t>Sttar</t>
  </si>
  <si>
    <t>1932-1959</t>
  </si>
  <si>
    <t>Qadomi: 
June: 1 unit – immediate delivery upon receipt.
July: 2 boxes – 2–3 weeks after receipt (ETA 14 August).
August: 5 boxes – 2–3 weeks after receipt (ETA 11 September).
September: 7 boxes – 3–4 weeks after receipt (ETA 5 October).
Note: Raw material processing requires 1–2 months for full fabrication and assembly of the boxes.</t>
  </si>
  <si>
    <t>Qadomi: Nov - 2025</t>
  </si>
  <si>
    <t>Qadomi : Nov - 2025</t>
  </si>
  <si>
    <t xml:space="preserve">IHCC-JEDDAH </t>
  </si>
  <si>
    <t>Dubai/JED</t>
  </si>
  <si>
    <t>Dubai/JED/PURSHES</t>
  </si>
  <si>
    <t>ETA Dubai | KSA</t>
  </si>
  <si>
    <t>ETA Purchase</t>
  </si>
  <si>
    <t>AFSD /  Purchase Remarks</t>
  </si>
  <si>
    <t xml:space="preserve">Pending Purchase Items </t>
  </si>
  <si>
    <t>JAN</t>
  </si>
  <si>
    <t>FEB</t>
  </si>
  <si>
    <t>MAR</t>
  </si>
  <si>
    <t>APR</t>
  </si>
  <si>
    <t>JUN</t>
  </si>
  <si>
    <t>JUL</t>
  </si>
  <si>
    <t>AUG</t>
  </si>
  <si>
    <t>SEP</t>
  </si>
  <si>
    <t>OCT</t>
  </si>
  <si>
    <t>NOV</t>
  </si>
  <si>
    <t>DEC</t>
  </si>
  <si>
    <t>Plentily  conditions</t>
  </si>
  <si>
    <t>Plentily ( Safe / Applied / Critical )</t>
  </si>
  <si>
    <t>Plentily Amount (SAR)</t>
  </si>
  <si>
    <t>Summary Status</t>
  </si>
  <si>
    <t>0.5% deduction for each late week, up to a maximum of 10%.</t>
  </si>
  <si>
    <t>SAFE</t>
  </si>
  <si>
    <t xml:space="preserve">7
Aug
</t>
  </si>
  <si>
    <t>Purchase</t>
  </si>
  <si>
    <t>120 Item</t>
  </si>
  <si>
    <t>1% deduction for each late week, up to a maximum of  6%</t>
  </si>
  <si>
    <t>Pending</t>
  </si>
  <si>
    <t>JED</t>
  </si>
  <si>
    <t>All chassis received.
- Awaiting pending materials and kits from Dubai.
- 15 kits received in 3 containers on 29.03.2025.
- Pending list for 15 sets sent to Josvin on 09.04.2025.
- 33 kits received (2nd lot) on 29.04.2025; pending list sent to Dubai.
- Awaiting balance materials from Dubai.
- Partial items received in 2 containers on 25.06.2025.
- Partial items received in 1 container on 26.06.2025.
- Remaining items ETA: 15.07.2025 (still not received).</t>
  </si>
  <si>
    <t>Qty: 57
1.Medsource Extrication Device
2.Aluminium Scoop Stretcher (MS-SCP123-S)
3.Head Immobilizer (MS-91000)
4.Cervical Collar Adult (MS-92500)
5.Pediatric Immobilization Board (MS-PIB-1)
6.Spider Straps (MS-ST11PTR) 
7.Traction Splint Kit (MS-TLS-3)
8.Flex-All Splint (MS-SPLINT)
9.Deluxe Spine Board (MS-93000)
10.Power Load System (6390) - Stryker
11.Accuvac Pro Suction (WM11645)
12.Stryker POWER-PRO XT Cot (6506)
13.LP 15 Monitor Defibrillator (99577-001411)
14.Chest Compression Machine (Lucas 3)
15.Stair Chair (ST10453 - Spencer)
16.Spencer 4BELL Chair (ST10501)
17.Portable Ventilator (T1 - HAMILTON)
18.Chest Compressor (Autopulse - Zoll)
19.Hand Sanitizer w/ Dispenser
Qty: 114
20.Oxygen Regulator (15002-03 - Allied)
Qty: 228
21.Oxygen Mask with Adult</t>
  </si>
  <si>
    <t>0.25% deduction for each late week, up to a maximum of  6%</t>
  </si>
  <si>
    <t>APPLIED</t>
  </si>
  <si>
    <t>Qty: 7
1. Oxygen Cylinder Steel
Qty: 6
2. Mounting Bracket for LIFEPAK 15 
3. Stair Chair Stair‑Pro  
4. Double Fold Pole Stretcher 
Qty: 1
5. Professional Trauma Bag
Qty: 9
6. Restraint Model 430</t>
  </si>
  <si>
    <t xml:space="preserve">in Jed pending accessories </t>
  </si>
  <si>
    <t>up to a maximum of  6%</t>
  </si>
  <si>
    <t>Need to know the Project number and required the Specification .</t>
  </si>
  <si>
    <t>Qty: 1
MX‑PRO R3‑6082 stretcher – STRYKER</t>
  </si>
  <si>
    <t>1 Unit</t>
  </si>
  <si>
    <t xml:space="preserve">Qty: 2 Each
1. Aluminum Oxygen Cylinder
2. Stryker MX‑PRO R3 X‑Frame Ambulance Cot </t>
  </si>
  <si>
    <t>NO Palinty</t>
  </si>
  <si>
    <t>PO #1970
6342  / WO # 25616597</t>
  </si>
  <si>
    <t>9 chassis Received.
 Partial Drawings received on 08/07/2025. remaining drawings required.
Awaiting  Kits from Dubai -</t>
  </si>
  <si>
    <t>Qty: 15 Each
1.Medsource Extrication Device
2. Aluminium Scoop Stretcher
3. Head Immobilizer Complete Set
4. Adjustable Cervical Collar
5. Pediatric Immobilation Board
6. Spider Straps with Reflective Tape
7. Adult Traction Splint Kit
8. Flex‑All Splint
9. Deluxe Spine Board
10. LP 15 Monitor Defibrillator
11. Child Traction Splint Kit
12. 4‑Bell Stair + MAX 10G Fastening System
13. Spencer 4‑Bell Foldable Transfer Chair
14. Autopulse Chest Compressor</t>
  </si>
  <si>
    <t>CRITICAL</t>
  </si>
  <si>
    <t>1% deduction for each late week, up to a maximum of 6%.</t>
  </si>
  <si>
    <t>102703/204083</t>
  </si>
  <si>
    <t xml:space="preserve">Qty: 2
1. Oxygen Cylinder Steel CGA 540, 3000L 
Qty: 1
2. Head Immobilizer Complete Set </t>
  </si>
  <si>
    <t>Qty: 3 Each
1. Power Load System
2. Stryker POWER-PRO XT Cot
3. LIFEPAK 1000 Defibrillator</t>
  </si>
  <si>
    <t>1 Item</t>
  </si>
  <si>
    <t>Depending on NUPCO</t>
  </si>
  <si>
    <t>2 Item</t>
  </si>
  <si>
    <t>Qty: 1  Each 
1. Aluminium Scoop Stretcher
2. LIFEPAK 1000 Defibrillator
3. ACCUVAC Lite Suction
4. Laryngoscope Handle (blades 0–5)</t>
  </si>
  <si>
    <t>All chassis received.
Awaiting   pending Kits from Dubai -
Received Partial materials on 25/06/2025.
Remaining ETA- 15/07/2025-Still not received.</t>
  </si>
  <si>
    <t>9 In JED</t>
  </si>
  <si>
    <t>Qty: 9 Each
1. Medsource Extrication Device
2. Aluminium Scoop Stretcher
3. Head Immobilizer Set
4. Adjustable Cervical Collar
5. Pediatric Immobilization Board
6. Spider Straps
7. Traction Splint Kit
8. Flex‑All Splint
9. Deluxe Spine Board
10. Child Traction Splint Kit
11. Power Load Cot Fastener
12. POWER‑PRO XT Cot
13. Chest Compression Machine
14. LIFEPAK 15 Defibrillator
15. LIFEPAK CR2 Defibrillator
Qty: 18
16. Oxygen Regulator Flow</t>
  </si>
  <si>
    <t>Up to a maximum of 20%.</t>
  </si>
  <si>
    <t>Up to a maximum of 6%.</t>
  </si>
  <si>
    <t>1 unit In Progress 
Qadomi: 
June: 1 unit – immediate delivery upon receipt.
July: 2 boxes – 2–3 weeks after receipt (ETA 14 August).
August: 5 boxes – 2–3 weeks after receipt (ETA 11 September).
September: 7 boxes – 3–4 weeks after receipt (ETA 5 October).
Note: Raw material processing requires 1–2 months for full fabrication and assembly of the boxes.</t>
  </si>
  <si>
    <t>0.5% deduction for each late week, up to a maximum of 6%.</t>
  </si>
  <si>
    <t>3 Items</t>
  </si>
  <si>
    <t>SGH-MEAHCO</t>
  </si>
  <si>
    <t>Waiting ETA from Dubai</t>
  </si>
  <si>
    <t>Qty: 1
1. Chest Compression Machine</t>
  </si>
  <si>
    <t xml:space="preserve">Zimmo PO#6673
reversed to Aljeel </t>
  </si>
  <si>
    <t>103134 / 103156</t>
  </si>
  <si>
    <t>Qty: 2 Each  
1. Stryker MX-PRO R3 Cot  
2. Stryker POWER-PRO XT Cot  
3. Power Load System (6390)</t>
  </si>
  <si>
    <t>4 Items</t>
  </si>
  <si>
    <t xml:space="preserve">Luay : NOV </t>
  </si>
  <si>
    <t>Qty: 3
1. Oxygen Cylinder Steel CGA 540, 3000L (MS‑SCYL‑M)
Qty: 3
2. Aluminium Scoop Stretcher (MS‑SCP123‑S)
Qty: 9
3. Adjustable Cervical Collar (MS‑92500)
Qty: 3
4. Pediatric Immobilization Board (MS‑PIB‑1)
Qty: 9
5. Flex‑All Splint (MS‑SPLINT)
Qty: 3
6. Land Mobile Excel GSM Extender (HEA2 router + antennas + 10 m cable)
Qty: 5
7. Portable Ventilator, Model T1
Qty: 2
8. Additional 3‑Year Warranty (Portable Ventilator)</t>
  </si>
  <si>
    <t>Qty: 3  Each 
1. LIFEPAK 1000 Defibrillator
2. Oxygen Regulator Flow Meter
3. Power Load System</t>
  </si>
  <si>
    <t>1 item</t>
  </si>
  <si>
    <t xml:space="preserve"> Suits</t>
  </si>
  <si>
    <t>6318
Zimmo PO#6649</t>
  </si>
  <si>
    <t>103123/103126/103127</t>
  </si>
  <si>
    <t>Qty: 4 Each
1. Stryker MX-PRO R3 X-Frame Amb Cot.
2. Stair Chair
3. Spine Backboard
4. Scoop Stretcher</t>
  </si>
  <si>
    <t>Applied</t>
  </si>
  <si>
    <t>Qty: 4 Each
1. SCBA 
2. Air Cylinder 
3. HUD Receiver 
4. FPS 7000 Mask</t>
  </si>
  <si>
    <t>Critical</t>
  </si>
  <si>
    <t>1% deduction for each late week, up to a maximum of 5%.</t>
  </si>
  <si>
    <t>Qty: 1
Oxygen Cylinder Steel CGA 540, 3000L
Qty: 24
2. Ambulance Wall Bracket for LIFEPAK 1000</t>
  </si>
  <si>
    <t>Qty: 45
1. Hand Sanitizing Gel Dispenser with gel</t>
  </si>
  <si>
    <t>Total number of projects</t>
  </si>
  <si>
    <t>Total value including VAT</t>
  </si>
  <si>
    <t>Total Ambulances</t>
  </si>
  <si>
    <t>Total Fire Truck</t>
  </si>
  <si>
    <t>Total Medical Items</t>
  </si>
  <si>
    <t>Projects with delay penalties</t>
  </si>
  <si>
    <t>Projects with Critical status</t>
  </si>
  <si>
    <t>Projects with Safe status</t>
  </si>
  <si>
    <t>Projects with missing items</t>
  </si>
  <si>
    <t>Month</t>
  </si>
  <si>
    <t>Scheduled deliveries</t>
  </si>
  <si>
    <t>Jan</t>
  </si>
  <si>
    <t>Feb</t>
  </si>
  <si>
    <t>Mar</t>
  </si>
  <si>
    <t>Apr</t>
  </si>
  <si>
    <t>May</t>
  </si>
  <si>
    <t>Jun</t>
  </si>
  <si>
    <t>Jul</t>
  </si>
  <si>
    <t>Aug</t>
  </si>
  <si>
    <t>Sep</t>
  </si>
  <si>
    <t>Nov</t>
  </si>
  <si>
    <t>Dec</t>
  </si>
  <si>
    <t xml:space="preserve">TOTAL </t>
  </si>
  <si>
    <t>Abdulhamid</t>
  </si>
  <si>
    <t>AMBULANCE TYPE II</t>
  </si>
  <si>
    <t>AMBULANCE TYPE I</t>
  </si>
  <si>
    <t>NUPCO-General Administration of Support</t>
  </si>
  <si>
    <t>XFRAME STRETCH AMBU II MX PRO R3 STRYKER</t>
  </si>
  <si>
    <t>Afras</t>
  </si>
  <si>
    <t>Hazmat Vehicle</t>
  </si>
  <si>
    <t>No ETA</t>
  </si>
  <si>
    <t>103252/103251</t>
  </si>
  <si>
    <t xml:space="preserve">PR#2554
Start Date 8/25/2025 </t>
  </si>
  <si>
    <t>Mahmoud</t>
  </si>
  <si>
    <t>76835 CPO</t>
  </si>
  <si>
    <t>Invoicing up to date</t>
  </si>
  <si>
    <t>Essam</t>
  </si>
  <si>
    <t>NEW Salesman ( Riyadh)</t>
  </si>
  <si>
    <t>NEW Salesman ( Dammam )</t>
  </si>
  <si>
    <t>2026 - SO</t>
  </si>
  <si>
    <t>2026 plan</t>
  </si>
  <si>
    <t>Total Ex. SO 26</t>
  </si>
  <si>
    <t>Achieved</t>
  </si>
  <si>
    <t>TTL 2026</t>
  </si>
  <si>
    <t>2026 - Invoicing</t>
  </si>
  <si>
    <t>Invoicing Carry Over 2027</t>
  </si>
  <si>
    <t>Al Jeel Medical 
PO#5727</t>
  </si>
  <si>
    <t xml:space="preserve">1969-2044 </t>
  </si>
  <si>
    <t>Actual % up to now</t>
  </si>
  <si>
    <t>PO NUPCO 4600119387</t>
  </si>
  <si>
    <t>King Fahad Military Med. City</t>
  </si>
  <si>
    <t>DR. SULAIMAN AL HABIB</t>
  </si>
  <si>
    <t>Invoiced Up To Today</t>
  </si>
  <si>
    <t>Medical Item 650 x 3 Units</t>
  </si>
  <si>
    <t>Medical Item 1 Unit</t>
  </si>
  <si>
    <t>Contract:  ATT96412</t>
  </si>
  <si>
    <t>NUPCO - MOD Saud Force</t>
  </si>
  <si>
    <t>1847 / 1970</t>
  </si>
  <si>
    <t>NUPCO - QASSIM ARMED FORCES HOSPITAL</t>
  </si>
  <si>
    <t>SASO</t>
  </si>
  <si>
    <t>Ahmed Qadomi</t>
  </si>
  <si>
    <t>NADEC</t>
  </si>
  <si>
    <t>AMBULANCE</t>
  </si>
  <si>
    <t>Expeted Total invoicing 26</t>
  </si>
  <si>
    <t>King AbdelAziz Med.City</t>
  </si>
  <si>
    <t>AMBULANCE VEHICLE 4X4</t>
  </si>
  <si>
    <t>Delayed</t>
  </si>
  <si>
    <t>Suliman</t>
  </si>
  <si>
    <t>DACO</t>
  </si>
  <si>
    <t>Command/Rapid Response Vehicle</t>
  </si>
  <si>
    <t>Pickup vehicle</t>
  </si>
  <si>
    <t>Services Charge</t>
  </si>
  <si>
    <t>MOD</t>
  </si>
  <si>
    <t>PO NUPCO 4600119387
WO # 26917177 PO#9090</t>
  </si>
  <si>
    <t>Ambulance Vehicle - heavy duty Box Type</t>
  </si>
  <si>
    <t>New</t>
  </si>
  <si>
    <t>RAC</t>
  </si>
  <si>
    <t>Mobile Command Vehicle</t>
  </si>
  <si>
    <t>Structural Pumpers</t>
  </si>
  <si>
    <t>Heayy Rescue Vehicle</t>
  </si>
  <si>
    <t>Mini Pumper</t>
  </si>
  <si>
    <t xml:space="preserve">Fire Fighting Truck </t>
  </si>
  <si>
    <t xml:space="preserve">ESSAM </t>
  </si>
  <si>
    <t xml:space="preserve">Ministry of Defense </t>
  </si>
  <si>
    <t>WO# NIS27063313</t>
  </si>
  <si>
    <t>Remarks</t>
  </si>
  <si>
    <t>MBCC</t>
  </si>
  <si>
    <t>PO-085018</t>
  </si>
  <si>
    <t>AFRAS - SEAFTY</t>
  </si>
  <si>
    <t xml:space="preserve">SEAFTY </t>
  </si>
  <si>
    <t>SE Company</t>
  </si>
  <si>
    <t>INCIDENT COMMAND TRUCK (37116)</t>
  </si>
  <si>
    <t>First response Vehicle</t>
  </si>
  <si>
    <t>KSA</t>
  </si>
  <si>
    <t>WO# NIS27063349</t>
  </si>
  <si>
    <t xml:space="preserve"> WO# NIS27070253</t>
  </si>
  <si>
    <t>PO#9426</t>
  </si>
  <si>
    <t>PO#4500664526
PR#4448 to make Full PO</t>
  </si>
  <si>
    <t>Done</t>
  </si>
  <si>
    <t>1st Fire Truck in Jed, Monitor Broken
4 Ready For FAT: 22 - 23Jun
10 under production, shakeel will share report</t>
  </si>
  <si>
    <t>In Hold</t>
  </si>
  <si>
    <t>Expected to move from Dubai on 15 July as per the latest update</t>
  </si>
  <si>
    <t>Ready for Delivery, Waiting Arkan to Deliver Materials</t>
  </si>
  <si>
    <t>1st Amb, dispatched from AFS.
19 Units pending the boxes from Dubai + raw materiaks</t>
  </si>
  <si>
    <t>Waiting NEG POs for medicals.
AL Jazerra to hold the 2 pickup chassis as per tariq request.
Production going well so far, as per tariq</t>
  </si>
  <si>
    <t>Chassis PO is still pending from CEO's office.
Waiting for raw materials from Dubai</t>
  </si>
  <si>
    <t>Waiting for the chassis. Firs raw materials Batch received in JED. 
Second batch under process</t>
  </si>
  <si>
    <t>Po sent to Dubai</t>
  </si>
  <si>
    <t>6 VEHICLES:
Materials shipped from Dubai, completion Date expected next week</t>
  </si>
  <si>
    <t>the units are expected to be received in KSA factory by the next week ,Tariq Said.</t>
  </si>
  <si>
    <t>Not received yet from Al jeel</t>
  </si>
  <si>
    <t>Waiting for the Payment</t>
  </si>
  <si>
    <t>Ready for Delivery, needs to be discussed</t>
  </si>
  <si>
    <t>Not received yet</t>
  </si>
  <si>
    <t>POs for some materials sent to Dubai</t>
  </si>
  <si>
    <t>Waiting for Chassis Qut from Purchase.
Offline work on boxes is in progress</t>
  </si>
  <si>
    <t>Nadeem</t>
  </si>
  <si>
    <t>Jan - May (Achieved)</t>
  </si>
  <si>
    <t>Plan up to End of 2026</t>
  </si>
  <si>
    <t>Sales Men Wise</t>
  </si>
  <si>
    <t>SO up to date</t>
  </si>
  <si>
    <t>Received in Jeddah, ready for delivery, still waiting SASO inspection</t>
  </si>
  <si>
    <t>NUPCO# 4600140435
PN#2157
PO#9426</t>
  </si>
  <si>
    <t>Invoicing</t>
  </si>
  <si>
    <t>Tortal</t>
  </si>
  <si>
    <t>103351 | 103243</t>
  </si>
  <si>
    <t>1 Unit Pass SASO
1 Unit waiting SASO</t>
  </si>
  <si>
    <t>AFS to delivery it</t>
  </si>
  <si>
    <t xml:space="preserve">Ambulances </t>
  </si>
  <si>
    <t>Fire Trucks</t>
  </si>
  <si>
    <t>Invoicing  target</t>
  </si>
  <si>
    <t>SO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</si>
</sst>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SAR]\ * #,##0.00_);_([$SAR]\ * \(#,##0.00\);_([$SAR]\ * &quot;-&quot;??_);_(@_)"/>
    <numFmt numFmtId="166" formatCode="[$-409]d\-mmm\-yyyy;@"/>
    <numFmt numFmtId="167" formatCode="[$SAR]\ #,##0.00"/>
    <numFmt numFmtId="168" formatCode="[$-409]d\-mmm\-yy;@"/>
    <numFmt numFmtId="169" formatCode="_-* #,##0.00_-;\-* #,##0.00_-;_-* &quot;-&quot;??_-;_-@_-"/>
  </numFmts>
  <fonts count="26" x14ac:knownFonts="1">
    <font>
      <sz val="11"/>
      <color theme="1"/>
      <name val="Calibri"/>
      <family val="2"/>
      <scheme val="minor"/>
    </font>
    <font>
      <sz val="11"/>
      <color theme="1"/>
      <name val="Calibri"/>
      <family val="2"/>
      <scheme val="minor"/>
    </font>
    <font>
      <b/>
      <i/>
      <sz val="14"/>
      <color theme="1"/>
      <name val="Calibri"/>
      <family val="2"/>
      <scheme val="minor"/>
    </font>
    <font>
      <i/>
      <sz val="14"/>
      <color theme="1"/>
      <name val="Calibri"/>
      <family val="2"/>
      <scheme val="minor"/>
    </font>
    <font>
      <sz val="14"/>
      <color theme="1"/>
      <name val="Calibri"/>
      <family val="2"/>
      <scheme val="minor"/>
    </font>
    <font>
      <sz val="14"/>
      <name val="Calibri"/>
      <family val="2"/>
      <scheme val="minor"/>
    </font>
    <font>
      <b/>
      <i/>
      <sz val="18"/>
      <color theme="1"/>
      <name val="Calibri"/>
      <family val="2"/>
      <scheme val="minor"/>
    </font>
    <font>
      <b/>
      <i/>
      <sz val="16"/>
      <color theme="1"/>
      <name val="Calibri"/>
      <family val="2"/>
      <scheme val="minor"/>
    </font>
    <font>
      <b/>
      <sz val="18"/>
      <color theme="1"/>
      <name val="Calibri"/>
      <family val="2"/>
      <scheme val="minor"/>
    </font>
    <font>
      <b/>
      <sz val="14"/>
      <color theme="1"/>
      <name val="Calibri"/>
      <family val="2"/>
      <scheme val="minor"/>
    </font>
    <font>
      <sz val="14"/>
      <color rgb="FF000000"/>
      <name val="Calibri"/>
      <family val="2"/>
    </font>
    <font>
      <i/>
      <sz val="14"/>
      <name val="Calibri"/>
      <family val="2"/>
      <scheme val="minor"/>
    </font>
    <font>
      <b/>
      <i/>
      <sz val="16"/>
      <name val="Calibri"/>
      <family val="2"/>
      <scheme val="minor"/>
    </font>
    <font>
      <sz val="9"/>
      <color indexed="81"/>
      <name val="Tahoma"/>
      <family val="2"/>
    </font>
    <font>
      <b/>
      <sz val="9"/>
      <color indexed="81"/>
      <name val="Tahoma"/>
      <family val="2"/>
    </font>
    <font>
      <b/>
      <i/>
      <sz val="18"/>
      <name val="Calibri"/>
      <family val="2"/>
      <scheme val="minor"/>
    </font>
    <font>
      <b/>
      <i/>
      <sz val="14"/>
      <name val="Calibri"/>
      <family val="2"/>
      <scheme val="minor"/>
    </font>
    <font>
      <b/>
      <sz val="18"/>
      <name val="Calibri"/>
      <family val="2"/>
      <scheme val="minor"/>
    </font>
    <font>
      <sz val="14"/>
      <name val="Calibri"/>
      <family val="2"/>
    </font>
    <font>
      <b/>
      <sz val="16"/>
      <name val="Calibri"/>
      <family val="2"/>
      <scheme val="minor"/>
    </font>
    <font>
      <i/>
      <sz val="14"/>
      <color rgb="FFFF0000"/>
      <name val="Calibri"/>
      <family val="2"/>
      <scheme val="minor"/>
    </font>
    <font>
      <sz val="14"/>
      <color rgb="FFFF0000"/>
      <name val="Calibri"/>
      <family val="2"/>
      <scheme val="minor"/>
    </font>
    <font>
      <sz val="14"/>
      <color theme="1"/>
      <name val="Arial Black"/>
      <family val="2"/>
    </font>
    <font>
      <b/>
      <sz val="14"/>
      <color theme="1"/>
      <name val="Arial Black"/>
      <family val="2"/>
    </font>
    <font>
      <b/>
      <i/>
      <sz val="22"/>
      <name val="Calibri"/>
      <family val="2"/>
      <scheme val="minor"/>
    </font>
    <font>
      <b/>
      <i/>
      <sz val="26"/>
      <name val="Calibri"/>
      <family val="2"/>
      <scheme val="minor"/>
    </font>
  </fonts>
  <fills count="4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B8169"/>
        <bgColor indexed="64"/>
      </patternFill>
    </fill>
    <fill>
      <patternFill patternType="solid">
        <fgColor rgb="FFE6E6E6"/>
        <bgColor indexed="64"/>
      </patternFill>
    </fill>
    <fill>
      <patternFill patternType="solid">
        <fgColor rgb="FFEBF65C"/>
        <bgColor indexed="64"/>
      </patternFill>
    </fill>
    <fill>
      <patternFill patternType="solid">
        <fgColor theme="6" tint="0.59999389629810485"/>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rgb="FF00B05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0" tint="-0.14999847407452621"/>
        <bgColor indexed="64"/>
      </patternFill>
    </fill>
    <fill>
      <patternFill patternType="solid">
        <fgColor rgb="FF66CCFF"/>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3A671"/>
        <bgColor indexed="64"/>
      </patternFill>
    </fill>
    <fill>
      <patternFill patternType="solid">
        <fgColor rgb="FF89C064"/>
        <bgColor indexed="64"/>
      </patternFill>
    </fill>
    <fill>
      <patternFill patternType="solid">
        <fgColor rgb="FFC6E0B6"/>
        <bgColor indexed="64"/>
      </patternFill>
    </fill>
    <fill>
      <patternFill patternType="solid">
        <fgColor rgb="FFB7D8A0"/>
        <bgColor indexed="64"/>
      </patternFill>
    </fill>
    <fill>
      <patternFill patternType="solid">
        <fgColor rgb="FFF6D3A4"/>
        <bgColor indexed="64"/>
      </patternFill>
    </fill>
    <fill>
      <patternFill patternType="solid">
        <fgColor rgb="FF00F22E"/>
        <bgColor indexed="64"/>
      </patternFill>
    </fill>
    <fill>
      <patternFill patternType="solid">
        <fgColor rgb="FFFFC000"/>
        <bgColor indexed="64"/>
      </patternFill>
    </fill>
    <fill>
      <patternFill patternType="solid">
        <fgColor theme="6" tint="0.79998168889431442"/>
        <bgColor indexed="64"/>
      </patternFill>
    </fill>
    <fill>
      <patternFill patternType="solid">
        <fgColor rgb="FF3BFF94"/>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8" tint="0.59999389629810485"/>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bottom/>
      <diagonal/>
    </border>
    <border>
      <left style="medium">
        <color indexed="64"/>
      </left>
      <right/>
      <top style="thin">
        <color indexed="64"/>
      </top>
      <bottom/>
      <diagonal/>
    </border>
    <border>
      <left style="thin">
        <color indexed="64"/>
      </left>
      <right/>
      <top style="thin">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169" fontId="1" fillId="0" borderId="0" applyFont="0" applyFill="0" applyBorder="0" applyAlignment="0" applyProtection="0"/>
  </cellStyleXfs>
  <cellXfs count="1558">
    <xf numFmtId="0" fontId="0" fillId="0" borderId="0" xfId="0"/>
    <xf numFmtId="0" fontId="7" fillId="4" borderId="25" xfId="0" applyFont="1" applyFill="1" applyBorder="1" applyAlignment="1">
      <alignment horizontal="center" vertical="center" wrapText="1"/>
    </xf>
    <xf numFmtId="0" fontId="5" fillId="12" borderId="5" xfId="0" applyFont="1" applyFill="1" applyBorder="1" applyAlignment="1" applyProtection="1">
      <alignment horizontal="center" vertical="center" wrapText="1"/>
    </xf>
    <xf numFmtId="0" fontId="5" fillId="12" borderId="1" xfId="0" applyFont="1" applyFill="1" applyBorder="1" applyAlignment="1" applyProtection="1">
      <alignment horizontal="center" vertical="center" wrapText="1"/>
    </xf>
    <xf numFmtId="0" fontId="5" fillId="12" borderId="7" xfId="0" applyFont="1" applyFill="1" applyBorder="1" applyAlignment="1" applyProtection="1">
      <alignment horizontal="center" vertical="center" wrapText="1"/>
    </xf>
    <xf numFmtId="0" fontId="10" fillId="14" borderId="5" xfId="0" applyFont="1" applyFill="1" applyBorder="1" applyAlignment="1" applyProtection="1">
      <alignment horizontal="center" vertical="center" wrapText="1"/>
    </xf>
    <xf numFmtId="0" fontId="5" fillId="22" borderId="1" xfId="0" applyFont="1" applyFill="1" applyBorder="1" applyAlignment="1" applyProtection="1">
      <alignment horizontal="center" vertical="center" wrapText="1"/>
    </xf>
    <xf numFmtId="0" fontId="4" fillId="21" borderId="5" xfId="0" applyFont="1" applyFill="1" applyBorder="1" applyAlignment="1" applyProtection="1">
      <alignment horizontal="center" vertical="center" wrapText="1"/>
    </xf>
    <xf numFmtId="0" fontId="4" fillId="21" borderId="1" xfId="0" applyFont="1" applyFill="1" applyBorder="1" applyAlignment="1" applyProtection="1">
      <alignment horizontal="center" vertical="center" wrapText="1"/>
    </xf>
    <xf numFmtId="0" fontId="4" fillId="21" borderId="7" xfId="0" applyFont="1" applyFill="1" applyBorder="1" applyAlignment="1" applyProtection="1">
      <alignment horizontal="center" vertical="center" wrapText="1"/>
    </xf>
    <xf numFmtId="0" fontId="4" fillId="13" borderId="5" xfId="0" applyFont="1" applyFill="1" applyBorder="1" applyAlignment="1" applyProtection="1">
      <alignment horizontal="center" vertical="center" wrapText="1"/>
    </xf>
    <xf numFmtId="0" fontId="4" fillId="13" borderId="7" xfId="0" applyFont="1" applyFill="1" applyBorder="1" applyAlignment="1" applyProtection="1">
      <alignment horizontal="center" vertical="center" wrapText="1"/>
    </xf>
    <xf numFmtId="0" fontId="4" fillId="13" borderId="1" xfId="0" applyFont="1" applyFill="1" applyBorder="1" applyAlignment="1" applyProtection="1">
      <alignment horizontal="center" vertical="center" wrapText="1"/>
    </xf>
    <xf numFmtId="0" fontId="4" fillId="27" borderId="5" xfId="0" applyFont="1" applyFill="1" applyBorder="1" applyAlignment="1" applyProtection="1">
      <alignment horizontal="center" vertical="center" wrapText="1"/>
    </xf>
    <xf numFmtId="0" fontId="4" fillId="27" borderId="1" xfId="0" applyFont="1" applyFill="1" applyBorder="1" applyAlignment="1" applyProtection="1">
      <alignment horizontal="center" vertical="center" wrapText="1"/>
    </xf>
    <xf numFmtId="0" fontId="4" fillId="27" borderId="7" xfId="0" applyFont="1" applyFill="1" applyBorder="1" applyAlignment="1" applyProtection="1">
      <alignment horizontal="center" vertical="center" wrapText="1"/>
    </xf>
    <xf numFmtId="0" fontId="4" fillId="29" borderId="5" xfId="0" applyFont="1" applyFill="1" applyBorder="1" applyAlignment="1" applyProtection="1">
      <alignment horizontal="center" vertical="center" wrapText="1"/>
    </xf>
    <xf numFmtId="0" fontId="4" fillId="29" borderId="1" xfId="0" applyFont="1" applyFill="1" applyBorder="1" applyAlignment="1" applyProtection="1">
      <alignment horizontal="center" vertical="center" wrapText="1"/>
    </xf>
    <xf numFmtId="0" fontId="3" fillId="29" borderId="8" xfId="1" applyNumberFormat="1" applyFont="1" applyFill="1" applyBorder="1" applyAlignment="1" applyProtection="1">
      <alignment horizontal="center" vertical="center" wrapText="1"/>
    </xf>
    <xf numFmtId="0" fontId="4" fillId="29" borderId="7" xfId="0" applyFont="1" applyFill="1" applyBorder="1" applyAlignment="1" applyProtection="1">
      <alignment horizontal="center" vertical="center" wrapText="1"/>
    </xf>
    <xf numFmtId="166" fontId="3" fillId="29" borderId="1" xfId="1" applyNumberFormat="1" applyFont="1" applyFill="1" applyBorder="1" applyAlignment="1" applyProtection="1">
      <alignment horizontal="center" vertical="center" wrapText="1"/>
    </xf>
    <xf numFmtId="0" fontId="3" fillId="29" borderId="7" xfId="1" applyNumberFormat="1" applyFont="1" applyFill="1" applyBorder="1" applyAlignment="1" applyProtection="1">
      <alignment horizontal="center" vertical="center" wrapText="1"/>
    </xf>
    <xf numFmtId="0" fontId="3" fillId="14" borderId="7" xfId="1" applyNumberFormat="1" applyFont="1" applyFill="1" applyBorder="1" applyAlignment="1" applyProtection="1">
      <alignment horizontal="center" vertical="center" wrapText="1"/>
    </xf>
    <xf numFmtId="0" fontId="10" fillId="14" borderId="7" xfId="0" applyFont="1" applyFill="1" applyBorder="1" applyAlignment="1" applyProtection="1">
      <alignment horizontal="center" vertical="center" wrapText="1"/>
    </xf>
    <xf numFmtId="0" fontId="5" fillId="7" borderId="1" xfId="0" applyFont="1" applyFill="1" applyBorder="1" applyAlignment="1" applyProtection="1">
      <alignment horizontal="center" vertical="center" wrapText="1"/>
    </xf>
    <xf numFmtId="0" fontId="5" fillId="7" borderId="7" xfId="0" applyFont="1" applyFill="1" applyBorder="1" applyAlignment="1" applyProtection="1">
      <alignment horizontal="center" vertical="center" wrapText="1"/>
    </xf>
    <xf numFmtId="0" fontId="5" fillId="11" borderId="2" xfId="0" applyFont="1" applyFill="1" applyBorder="1" applyAlignment="1" applyProtection="1">
      <alignment horizontal="center" vertical="center" wrapText="1"/>
    </xf>
    <xf numFmtId="0" fontId="5" fillId="12" borderId="4" xfId="0" applyFont="1" applyFill="1" applyBorder="1" applyAlignment="1" applyProtection="1">
      <alignment horizontal="center" vertical="center" wrapText="1"/>
    </xf>
    <xf numFmtId="0" fontId="5" fillId="12" borderId="9" xfId="0" applyFont="1" applyFill="1" applyBorder="1" applyAlignment="1" applyProtection="1">
      <alignment horizontal="center" vertical="center" wrapText="1"/>
    </xf>
    <xf numFmtId="0" fontId="4" fillId="21" borderId="2" xfId="0" applyFont="1" applyFill="1" applyBorder="1" applyAlignment="1" applyProtection="1">
      <alignment horizontal="center" vertical="center" wrapText="1"/>
    </xf>
    <xf numFmtId="0" fontId="4" fillId="29" borderId="4" xfId="0" applyFont="1" applyFill="1" applyBorder="1" applyAlignment="1" applyProtection="1">
      <alignment horizontal="center" vertical="center" wrapText="1"/>
    </xf>
    <xf numFmtId="0" fontId="4" fillId="29" borderId="9"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4" fillId="21" borderId="3" xfId="0" applyFont="1" applyFill="1" applyBorder="1" applyAlignment="1" applyProtection="1">
      <alignment horizontal="center" vertical="center" wrapText="1"/>
    </xf>
    <xf numFmtId="0" fontId="3" fillId="14" borderId="8" xfId="1" applyNumberFormat="1" applyFont="1" applyFill="1" applyBorder="1" applyAlignment="1" applyProtection="1">
      <alignment horizontal="center" vertical="center" wrapText="1"/>
    </xf>
    <xf numFmtId="0" fontId="3" fillId="22" borderId="3" xfId="1" applyNumberFormat="1" applyFont="1" applyFill="1" applyBorder="1" applyAlignment="1">
      <alignment horizontal="left" vertical="center" wrapText="1"/>
    </xf>
    <xf numFmtId="0" fontId="3" fillId="10" borderId="3" xfId="1" applyNumberFormat="1" applyFont="1" applyFill="1" applyBorder="1" applyAlignment="1">
      <alignment horizontal="left" vertical="center" wrapText="1"/>
    </xf>
    <xf numFmtId="0" fontId="3" fillId="10" borderId="8" xfId="1" applyNumberFormat="1" applyFont="1" applyFill="1" applyBorder="1" applyAlignment="1">
      <alignment horizontal="left" vertical="center" wrapText="1"/>
    </xf>
    <xf numFmtId="166" fontId="3" fillId="11" borderId="3" xfId="1" applyNumberFormat="1" applyFont="1" applyFill="1" applyBorder="1" applyAlignment="1" applyProtection="1">
      <alignment horizontal="left" vertical="center" wrapText="1"/>
    </xf>
    <xf numFmtId="166" fontId="3" fillId="12" borderId="6" xfId="1" applyNumberFormat="1" applyFont="1" applyFill="1" applyBorder="1" applyAlignment="1" applyProtection="1">
      <alignment horizontal="left" vertical="center" wrapText="1"/>
    </xf>
    <xf numFmtId="0" fontId="3" fillId="9" borderId="27" xfId="1" applyNumberFormat="1" applyFont="1" applyFill="1" applyBorder="1" applyAlignment="1" applyProtection="1">
      <alignment horizontal="left" vertical="center" wrapText="1"/>
      <protection locked="0"/>
    </xf>
    <xf numFmtId="166" fontId="3" fillId="13" borderId="6" xfId="1" applyNumberFormat="1" applyFont="1" applyFill="1" applyBorder="1" applyAlignment="1" applyProtection="1">
      <alignment horizontal="left" vertical="center" wrapText="1"/>
    </xf>
    <xf numFmtId="0" fontId="3" fillId="27" borderId="6" xfId="1" applyNumberFormat="1" applyFont="1" applyFill="1" applyBorder="1" applyAlignment="1" applyProtection="1">
      <alignment horizontal="left" vertical="center" wrapText="1"/>
      <protection locked="0"/>
    </xf>
    <xf numFmtId="0" fontId="3" fillId="27" borderId="3" xfId="1" applyNumberFormat="1" applyFont="1" applyFill="1" applyBorder="1" applyAlignment="1" applyProtection="1">
      <alignment horizontal="left" vertical="center" wrapText="1"/>
      <protection locked="0"/>
    </xf>
    <xf numFmtId="0" fontId="3" fillId="29" borderId="6" xfId="1" applyNumberFormat="1" applyFont="1" applyFill="1" applyBorder="1" applyAlignment="1" applyProtection="1">
      <alignment horizontal="left" vertical="center" wrapText="1"/>
      <protection locked="0"/>
    </xf>
    <xf numFmtId="0" fontId="11" fillId="21" borderId="2" xfId="1" applyNumberFormat="1" applyFont="1" applyFill="1" applyBorder="1" applyAlignment="1" applyProtection="1">
      <alignment horizontal="center" vertical="center" wrapText="1"/>
    </xf>
    <xf numFmtId="0" fontId="7" fillId="4" borderId="25" xfId="0" applyNumberFormat="1" applyFont="1" applyFill="1" applyBorder="1" applyAlignment="1">
      <alignment horizontal="center" vertical="center" wrapText="1"/>
    </xf>
    <xf numFmtId="0" fontId="5" fillId="22" borderId="5" xfId="0" applyFont="1" applyFill="1" applyBorder="1" applyAlignment="1" applyProtection="1">
      <alignment horizontal="center" vertical="center" wrapText="1"/>
    </xf>
    <xf numFmtId="166" fontId="3" fillId="13" borderId="3" xfId="1" applyNumberFormat="1" applyFont="1" applyFill="1" applyBorder="1" applyAlignment="1" applyProtection="1">
      <alignment horizontal="left" vertical="center" wrapText="1"/>
    </xf>
    <xf numFmtId="0" fontId="4" fillId="13" borderId="8" xfId="0" applyFont="1" applyFill="1" applyBorder="1" applyAlignment="1" applyProtection="1">
      <alignment horizontal="left" vertical="center" wrapText="1"/>
    </xf>
    <xf numFmtId="0" fontId="3" fillId="29" borderId="3" xfId="1" applyNumberFormat="1" applyFont="1" applyFill="1" applyBorder="1" applyAlignment="1" applyProtection="1">
      <alignment horizontal="center" vertical="center" wrapText="1"/>
      <protection locked="0"/>
    </xf>
    <xf numFmtId="166" fontId="3" fillId="14" borderId="5" xfId="1" applyNumberFormat="1" applyFont="1" applyFill="1" applyBorder="1" applyAlignment="1">
      <alignment horizontal="center" vertical="center" wrapText="1"/>
    </xf>
    <xf numFmtId="0" fontId="3" fillId="14" borderId="6" xfId="1" applyNumberFormat="1" applyFont="1" applyFill="1" applyBorder="1" applyAlignment="1" applyProtection="1">
      <alignment horizontal="center" vertical="center" wrapText="1"/>
      <protection locked="0"/>
    </xf>
    <xf numFmtId="166" fontId="7" fillId="4" borderId="25" xfId="0" applyNumberFormat="1" applyFont="1" applyFill="1" applyBorder="1" applyAlignment="1">
      <alignment horizontal="center" vertical="center" wrapText="1"/>
    </xf>
    <xf numFmtId="0" fontId="5" fillId="10" borderId="4" xfId="0" applyFont="1" applyFill="1" applyBorder="1" applyAlignment="1" applyProtection="1">
      <alignment horizontal="center" vertical="center" wrapText="1"/>
    </xf>
    <xf numFmtId="0" fontId="5" fillId="11" borderId="4" xfId="0" applyFont="1" applyFill="1" applyBorder="1" applyAlignment="1" applyProtection="1">
      <alignment horizontal="center" vertical="center" wrapText="1"/>
    </xf>
    <xf numFmtId="0" fontId="4" fillId="21" borderId="9" xfId="0" applyFont="1" applyFill="1" applyBorder="1" applyAlignment="1" applyProtection="1">
      <alignment horizontal="center" vertical="center" wrapText="1"/>
    </xf>
    <xf numFmtId="0" fontId="4" fillId="29" borderId="2" xfId="0" applyFont="1" applyFill="1" applyBorder="1" applyAlignment="1" applyProtection="1">
      <alignment horizontal="center" vertical="center" wrapText="1"/>
    </xf>
    <xf numFmtId="0" fontId="10" fillId="14" borderId="4" xfId="0" applyFont="1" applyFill="1" applyBorder="1" applyAlignment="1" applyProtection="1">
      <alignment horizontal="center" vertical="center" wrapText="1"/>
    </xf>
    <xf numFmtId="0" fontId="3" fillId="27" borderId="8" xfId="1" applyNumberFormat="1" applyFont="1" applyFill="1" applyBorder="1" applyAlignment="1" applyProtection="1">
      <alignment horizontal="left" vertical="center" wrapText="1"/>
      <protection locked="0"/>
    </xf>
    <xf numFmtId="0" fontId="4" fillId="13" borderId="25" xfId="0" applyFont="1" applyFill="1" applyBorder="1" applyAlignment="1" applyProtection="1">
      <alignment horizontal="center" vertical="center" wrapText="1"/>
    </xf>
    <xf numFmtId="166" fontId="3" fillId="13" borderId="27" xfId="1" applyNumberFormat="1" applyFont="1" applyFill="1" applyBorder="1" applyAlignment="1" applyProtection="1">
      <alignment horizontal="left" vertical="center" wrapText="1"/>
    </xf>
    <xf numFmtId="166" fontId="3" fillId="21" borderId="8" xfId="1" applyNumberFormat="1" applyFont="1" applyFill="1" applyBorder="1" applyAlignment="1" applyProtection="1">
      <alignment horizontal="left" vertical="center" wrapText="1"/>
    </xf>
    <xf numFmtId="166" fontId="3" fillId="12" borderId="8" xfId="1" applyNumberFormat="1" applyFont="1" applyFill="1" applyBorder="1" applyAlignment="1" applyProtection="1">
      <alignment horizontal="left" vertical="center" wrapText="1"/>
    </xf>
    <xf numFmtId="0" fontId="5" fillId="11" borderId="9" xfId="0" applyFont="1" applyFill="1" applyBorder="1" applyAlignment="1" applyProtection="1">
      <alignment horizontal="center" vertical="center" wrapText="1"/>
    </xf>
    <xf numFmtId="0" fontId="3" fillId="10" borderId="6" xfId="1" applyNumberFormat="1" applyFont="1" applyFill="1" applyBorder="1" applyAlignment="1">
      <alignment horizontal="left" vertical="center" wrapText="1"/>
    </xf>
    <xf numFmtId="0" fontId="7" fillId="4" borderId="24" xfId="0" applyFont="1" applyFill="1" applyBorder="1" applyAlignment="1">
      <alignment horizontal="center" vertical="center" wrapText="1"/>
    </xf>
    <xf numFmtId="0" fontId="7" fillId="4" borderId="27" xfId="0" applyNumberFormat="1" applyFont="1" applyFill="1" applyBorder="1" applyAlignment="1">
      <alignment horizontal="center" vertical="center" wrapText="1"/>
    </xf>
    <xf numFmtId="0" fontId="0" fillId="0" borderId="0" xfId="0" applyBorder="1" applyAlignment="1">
      <alignment wrapText="1"/>
    </xf>
    <xf numFmtId="43" fontId="2" fillId="22" borderId="11" xfId="1" applyNumberFormat="1" applyFont="1" applyFill="1" applyBorder="1" applyAlignment="1" applyProtection="1">
      <alignment horizontal="center" vertical="center" wrapText="1"/>
    </xf>
    <xf numFmtId="166" fontId="3" fillId="7" borderId="29" xfId="1" applyNumberFormat="1" applyFont="1" applyFill="1" applyBorder="1" applyAlignment="1" applyProtection="1">
      <alignment horizontal="left" vertical="center" wrapText="1"/>
    </xf>
    <xf numFmtId="0" fontId="3" fillId="22" borderId="1" xfId="1" applyNumberFormat="1" applyFont="1" applyFill="1" applyBorder="1" applyAlignment="1" applyProtection="1">
      <alignment horizontal="center" vertical="center" wrapText="1"/>
    </xf>
    <xf numFmtId="43" fontId="2" fillId="22" borderId="1" xfId="1" applyNumberFormat="1" applyFont="1" applyFill="1" applyBorder="1" applyAlignment="1" applyProtection="1">
      <alignment horizontal="center" vertical="center" wrapText="1"/>
    </xf>
    <xf numFmtId="43" fontId="2" fillId="22" borderId="7" xfId="1" applyNumberFormat="1" applyFont="1" applyFill="1" applyBorder="1" applyAlignment="1" applyProtection="1">
      <alignment horizontal="center" vertical="center" wrapText="1"/>
    </xf>
    <xf numFmtId="0" fontId="3" fillId="22" borderId="5" xfId="1" applyNumberFormat="1" applyFont="1" applyFill="1" applyBorder="1" applyAlignment="1" applyProtection="1">
      <alignment horizontal="center" vertical="center" wrapText="1"/>
    </xf>
    <xf numFmtId="0" fontId="5" fillId="22" borderId="4" xfId="0" applyFont="1" applyFill="1" applyBorder="1" applyAlignment="1" applyProtection="1">
      <alignment horizontal="center" vertical="center" wrapText="1"/>
    </xf>
    <xf numFmtId="43" fontId="2" fillId="22" borderId="5" xfId="1" applyNumberFormat="1" applyFont="1" applyFill="1" applyBorder="1" applyAlignment="1" applyProtection="1">
      <alignment horizontal="center" vertical="center" wrapText="1"/>
    </xf>
    <xf numFmtId="0" fontId="3" fillId="22" borderId="6" xfId="1" applyNumberFormat="1" applyFont="1" applyFill="1" applyBorder="1" applyAlignment="1">
      <alignment horizontal="left" vertical="center" wrapText="1"/>
    </xf>
    <xf numFmtId="0" fontId="3" fillId="22" borderId="8" xfId="1" applyNumberFormat="1" applyFont="1" applyFill="1" applyBorder="1" applyAlignment="1">
      <alignment horizontal="left" vertical="center" wrapText="1"/>
    </xf>
    <xf numFmtId="0" fontId="3" fillId="10" borderId="5" xfId="1" applyNumberFormat="1" applyFont="1" applyFill="1" applyBorder="1" applyAlignment="1" applyProtection="1">
      <alignment horizontal="center" vertical="center" wrapText="1"/>
    </xf>
    <xf numFmtId="0" fontId="3" fillId="10" borderId="6" xfId="1" applyNumberFormat="1" applyFont="1" applyFill="1" applyBorder="1" applyAlignment="1" applyProtection="1">
      <alignment horizontal="center" vertical="center" wrapText="1"/>
    </xf>
    <xf numFmtId="0" fontId="5" fillId="10" borderId="5" xfId="0" applyFont="1" applyFill="1" applyBorder="1" applyAlignment="1" applyProtection="1">
      <alignment horizontal="center" vertical="center" wrapText="1"/>
    </xf>
    <xf numFmtId="43" fontId="2" fillId="10" borderId="5" xfId="1" applyNumberFormat="1" applyFont="1" applyFill="1" applyBorder="1" applyAlignment="1" applyProtection="1">
      <alignment horizontal="center" vertical="center" wrapText="1"/>
    </xf>
    <xf numFmtId="0" fontId="3" fillId="10" borderId="1" xfId="1" applyNumberFormat="1" applyFont="1" applyFill="1" applyBorder="1" applyAlignment="1" applyProtection="1">
      <alignment horizontal="center" vertical="center" wrapText="1"/>
    </xf>
    <xf numFmtId="0" fontId="5" fillId="10" borderId="1" xfId="0" applyFont="1" applyFill="1" applyBorder="1" applyAlignment="1" applyProtection="1">
      <alignment horizontal="center" vertical="center" wrapText="1"/>
    </xf>
    <xf numFmtId="43" fontId="2" fillId="10" borderId="1" xfId="1" applyNumberFormat="1" applyFont="1" applyFill="1" applyBorder="1" applyAlignment="1" applyProtection="1">
      <alignment horizontal="center" vertical="center" wrapText="1"/>
    </xf>
    <xf numFmtId="0" fontId="3" fillId="10" borderId="7" xfId="1" applyNumberFormat="1" applyFont="1" applyFill="1" applyBorder="1" applyAlignment="1" applyProtection="1">
      <alignment horizontal="center" vertical="center" wrapText="1"/>
    </xf>
    <xf numFmtId="0" fontId="5" fillId="10" borderId="7" xfId="0" applyFont="1" applyFill="1" applyBorder="1" applyAlignment="1" applyProtection="1">
      <alignment horizontal="center" vertical="center" wrapText="1"/>
    </xf>
    <xf numFmtId="43" fontId="2" fillId="10" borderId="7" xfId="1" applyNumberFormat="1" applyFont="1" applyFill="1" applyBorder="1" applyAlignment="1" applyProtection="1">
      <alignment horizontal="center" vertical="center" wrapText="1"/>
    </xf>
    <xf numFmtId="0" fontId="3" fillId="11" borderId="5" xfId="1" applyNumberFormat="1" applyFont="1" applyFill="1" applyBorder="1" applyAlignment="1" applyProtection="1">
      <alignment horizontal="center" vertical="center" wrapText="1"/>
    </xf>
    <xf numFmtId="0" fontId="3" fillId="11" borderId="6" xfId="1" applyNumberFormat="1" applyFont="1" applyFill="1" applyBorder="1" applyAlignment="1" applyProtection="1">
      <alignment horizontal="center" vertical="center" wrapText="1"/>
    </xf>
    <xf numFmtId="0" fontId="5" fillId="11" borderId="5" xfId="0" applyFont="1" applyFill="1" applyBorder="1" applyAlignment="1" applyProtection="1">
      <alignment horizontal="center" vertical="center" wrapText="1"/>
    </xf>
    <xf numFmtId="0" fontId="3" fillId="11" borderId="6" xfId="1" applyNumberFormat="1" applyFont="1" applyFill="1" applyBorder="1" applyAlignment="1">
      <alignment horizontal="left" vertical="center" wrapText="1"/>
    </xf>
    <xf numFmtId="0" fontId="3" fillId="11" borderId="1" xfId="1" applyNumberFormat="1" applyFont="1" applyFill="1" applyBorder="1" applyAlignment="1" applyProtection="1">
      <alignment horizontal="center" vertical="center" wrapText="1"/>
    </xf>
    <xf numFmtId="0" fontId="3" fillId="11" borderId="3" xfId="1" applyNumberFormat="1" applyFont="1" applyFill="1" applyBorder="1" applyAlignment="1" applyProtection="1">
      <alignment horizontal="center" vertical="center" wrapText="1"/>
    </xf>
    <xf numFmtId="0" fontId="5" fillId="11" borderId="1" xfId="0" applyFont="1" applyFill="1" applyBorder="1" applyAlignment="1" applyProtection="1">
      <alignment horizontal="center" vertical="center" wrapText="1"/>
    </xf>
    <xf numFmtId="0" fontId="3" fillId="11" borderId="3" xfId="1" applyNumberFormat="1" applyFont="1" applyFill="1" applyBorder="1" applyAlignment="1">
      <alignment horizontal="left" vertical="center" wrapText="1"/>
    </xf>
    <xf numFmtId="0" fontId="3" fillId="11" borderId="7" xfId="1" applyNumberFormat="1" applyFont="1" applyFill="1" applyBorder="1" applyAlignment="1" applyProtection="1">
      <alignment horizontal="center" vertical="center" wrapText="1"/>
    </xf>
    <xf numFmtId="0" fontId="3" fillId="11" borderId="8" xfId="1" applyNumberFormat="1" applyFont="1" applyFill="1" applyBorder="1" applyAlignment="1" applyProtection="1">
      <alignment horizontal="center" vertical="center" wrapText="1"/>
    </xf>
    <xf numFmtId="0" fontId="5" fillId="11" borderId="7" xfId="0" applyFont="1" applyFill="1" applyBorder="1" applyAlignment="1" applyProtection="1">
      <alignment horizontal="center" vertical="center" wrapText="1"/>
    </xf>
    <xf numFmtId="0" fontId="3" fillId="11" borderId="8" xfId="1" applyNumberFormat="1" applyFont="1" applyFill="1" applyBorder="1" applyAlignment="1">
      <alignment horizontal="left" vertical="center" wrapText="1"/>
    </xf>
    <xf numFmtId="0" fontId="3" fillId="12" borderId="5" xfId="1" applyNumberFormat="1" applyFont="1" applyFill="1" applyBorder="1" applyAlignment="1" applyProtection="1">
      <alignment horizontal="center" vertical="center" wrapText="1"/>
    </xf>
    <xf numFmtId="0" fontId="3" fillId="12" borderId="6" xfId="1" applyNumberFormat="1" applyFont="1" applyFill="1" applyBorder="1" applyAlignment="1" applyProtection="1">
      <alignment horizontal="center" vertical="center" wrapText="1"/>
    </xf>
    <xf numFmtId="43" fontId="2" fillId="12" borderId="5" xfId="1" applyNumberFormat="1" applyFont="1" applyFill="1" applyBorder="1" applyAlignment="1" applyProtection="1">
      <alignment horizontal="center" vertical="center" wrapText="1"/>
    </xf>
    <xf numFmtId="0" fontId="3" fillId="12" borderId="7" xfId="1" applyNumberFormat="1" applyFont="1" applyFill="1" applyBorder="1" applyAlignment="1" applyProtection="1">
      <alignment horizontal="center" vertical="center" wrapText="1"/>
    </xf>
    <xf numFmtId="0" fontId="3" fillId="12" borderId="8" xfId="1" applyNumberFormat="1" applyFont="1" applyFill="1" applyBorder="1" applyAlignment="1" applyProtection="1">
      <alignment horizontal="center" vertical="center" wrapText="1"/>
    </xf>
    <xf numFmtId="43" fontId="2" fillId="12" borderId="7" xfId="1" applyNumberFormat="1" applyFont="1" applyFill="1" applyBorder="1" applyAlignment="1" applyProtection="1">
      <alignment horizontal="center" vertical="center" wrapText="1"/>
    </xf>
    <xf numFmtId="0" fontId="3" fillId="12" borderId="6" xfId="1" applyNumberFormat="1" applyFont="1" applyFill="1" applyBorder="1" applyAlignment="1">
      <alignment horizontal="left" vertical="center" wrapText="1"/>
    </xf>
    <xf numFmtId="0" fontId="3" fillId="12" borderId="8" xfId="1" applyNumberFormat="1" applyFont="1" applyFill="1" applyBorder="1" applyAlignment="1">
      <alignment horizontal="left" vertical="center" wrapText="1"/>
    </xf>
    <xf numFmtId="0" fontId="3" fillId="26" borderId="5" xfId="1" applyNumberFormat="1" applyFont="1" applyFill="1" applyBorder="1" applyAlignment="1" applyProtection="1">
      <alignment horizontal="center" vertical="center" wrapText="1"/>
    </xf>
    <xf numFmtId="0" fontId="5" fillId="26" borderId="5" xfId="0" applyFont="1" applyFill="1" applyBorder="1" applyAlignment="1" applyProtection="1">
      <alignment horizontal="center" vertical="center" wrapText="1"/>
    </xf>
    <xf numFmtId="43" fontId="2" fillId="26" borderId="5" xfId="1" applyNumberFormat="1" applyFont="1" applyFill="1" applyBorder="1" applyAlignment="1">
      <alignment horizontal="center" vertical="center" wrapText="1"/>
    </xf>
    <xf numFmtId="0" fontId="3" fillId="26" borderId="6" xfId="1" applyNumberFormat="1" applyFont="1" applyFill="1" applyBorder="1" applyAlignment="1" applyProtection="1">
      <alignment horizontal="left" vertical="center" wrapText="1"/>
      <protection locked="0"/>
    </xf>
    <xf numFmtId="0" fontId="3" fillId="26" borderId="7" xfId="1" applyNumberFormat="1" applyFont="1" applyFill="1" applyBorder="1" applyAlignment="1" applyProtection="1">
      <alignment horizontal="center" vertical="center" wrapText="1"/>
    </xf>
    <xf numFmtId="0" fontId="5" fillId="26" borderId="7" xfId="0" applyFont="1" applyFill="1" applyBorder="1" applyAlignment="1" applyProtection="1">
      <alignment horizontal="center" vertical="center" wrapText="1"/>
    </xf>
    <xf numFmtId="43" fontId="2" fillId="26" borderId="7" xfId="1" applyNumberFormat="1" applyFont="1" applyFill="1" applyBorder="1" applyAlignment="1">
      <alignment horizontal="center" vertical="center" wrapText="1"/>
    </xf>
    <xf numFmtId="0" fontId="3" fillId="26" borderId="8" xfId="1" applyNumberFormat="1" applyFont="1" applyFill="1" applyBorder="1" applyAlignment="1" applyProtection="1">
      <alignment horizontal="left" vertical="center" wrapText="1"/>
      <protection locked="0"/>
    </xf>
    <xf numFmtId="0" fontId="3" fillId="9" borderId="25" xfId="1" applyNumberFormat="1" applyFont="1" applyFill="1" applyBorder="1" applyAlignment="1" applyProtection="1">
      <alignment horizontal="center" vertical="center" wrapText="1"/>
    </xf>
    <xf numFmtId="0" fontId="3" fillId="9" borderId="27" xfId="1" applyNumberFormat="1" applyFont="1" applyFill="1" applyBorder="1" applyAlignment="1" applyProtection="1">
      <alignment horizontal="center" vertical="center" wrapText="1"/>
    </xf>
    <xf numFmtId="0" fontId="4" fillId="9" borderId="24" xfId="0" applyFont="1" applyFill="1" applyBorder="1" applyAlignment="1" applyProtection="1">
      <alignment horizontal="center" vertical="center" wrapText="1"/>
    </xf>
    <xf numFmtId="0" fontId="4" fillId="9" borderId="25" xfId="0" applyFont="1" applyFill="1" applyBorder="1" applyAlignment="1" applyProtection="1">
      <alignment horizontal="center" vertical="center" wrapText="1"/>
    </xf>
    <xf numFmtId="43" fontId="2" fillId="9" borderId="25" xfId="1" applyNumberFormat="1" applyFont="1" applyFill="1" applyBorder="1" applyAlignment="1">
      <alignment horizontal="center" vertical="center" wrapText="1"/>
    </xf>
    <xf numFmtId="0" fontId="3" fillId="21" borderId="5" xfId="1" applyNumberFormat="1" applyFont="1" applyFill="1" applyBorder="1" applyAlignment="1" applyProtection="1">
      <alignment horizontal="center" vertical="center" wrapText="1"/>
    </xf>
    <xf numFmtId="0" fontId="3" fillId="21" borderId="6" xfId="1" applyNumberFormat="1" applyFont="1" applyFill="1" applyBorder="1" applyAlignment="1" applyProtection="1">
      <alignment horizontal="center" vertical="center" wrapText="1"/>
    </xf>
    <xf numFmtId="0" fontId="4" fillId="21" borderId="4" xfId="0" applyFont="1" applyFill="1" applyBorder="1" applyAlignment="1" applyProtection="1">
      <alignment horizontal="center" vertical="center" wrapText="1"/>
    </xf>
    <xf numFmtId="43" fontId="2" fillId="21" borderId="5" xfId="1" applyFont="1" applyFill="1" applyBorder="1" applyAlignment="1" applyProtection="1">
      <alignment horizontal="center" vertical="center" wrapText="1"/>
    </xf>
    <xf numFmtId="0" fontId="3" fillId="21" borderId="6" xfId="1" applyNumberFormat="1" applyFont="1" applyFill="1" applyBorder="1" applyAlignment="1" applyProtection="1">
      <alignment horizontal="left" vertical="center" wrapText="1"/>
      <protection locked="0"/>
    </xf>
    <xf numFmtId="0" fontId="3" fillId="21" borderId="7" xfId="1" applyNumberFormat="1" applyFont="1" applyFill="1" applyBorder="1" applyAlignment="1" applyProtection="1">
      <alignment horizontal="center" vertical="center" wrapText="1"/>
    </xf>
    <xf numFmtId="0" fontId="3" fillId="21" borderId="8" xfId="1" applyNumberFormat="1" applyFont="1" applyFill="1" applyBorder="1" applyAlignment="1" applyProtection="1">
      <alignment horizontal="center" vertical="center" wrapText="1"/>
    </xf>
    <xf numFmtId="43" fontId="2" fillId="21" borderId="7" xfId="1" applyFont="1" applyFill="1" applyBorder="1" applyAlignment="1" applyProtection="1">
      <alignment horizontal="center" vertical="center" wrapText="1"/>
    </xf>
    <xf numFmtId="0" fontId="3" fillId="21" borderId="1" xfId="1" applyNumberFormat="1" applyFont="1" applyFill="1" applyBorder="1" applyAlignment="1" applyProtection="1">
      <alignment horizontal="center" vertical="center" wrapText="1"/>
    </xf>
    <xf numFmtId="0" fontId="3" fillId="21" borderId="3" xfId="1" applyNumberFormat="1" applyFont="1" applyFill="1" applyBorder="1" applyAlignment="1" applyProtection="1">
      <alignment horizontal="center" vertical="center" wrapText="1"/>
    </xf>
    <xf numFmtId="43" fontId="2" fillId="21" borderId="1" xfId="1" applyFont="1" applyFill="1" applyBorder="1" applyAlignment="1" applyProtection="1">
      <alignment horizontal="center" vertical="center" wrapText="1"/>
    </xf>
    <xf numFmtId="0" fontId="3" fillId="21" borderId="3" xfId="1" applyNumberFormat="1" applyFont="1" applyFill="1" applyBorder="1" applyAlignment="1" applyProtection="1">
      <alignment horizontal="left" vertical="center" wrapText="1"/>
      <protection locked="0"/>
    </xf>
    <xf numFmtId="0" fontId="3" fillId="21" borderId="8" xfId="1" applyNumberFormat="1" applyFont="1" applyFill="1" applyBorder="1" applyAlignment="1" applyProtection="1">
      <alignment horizontal="left" vertical="center" wrapText="1"/>
      <protection locked="0"/>
    </xf>
    <xf numFmtId="0" fontId="3" fillId="13" borderId="25" xfId="1" applyNumberFormat="1" applyFont="1" applyFill="1" applyBorder="1" applyAlignment="1" applyProtection="1">
      <alignment horizontal="center" vertical="center" wrapText="1"/>
    </xf>
    <xf numFmtId="0" fontId="3" fillId="13" borderId="27" xfId="1" applyNumberFormat="1" applyFont="1" applyFill="1" applyBorder="1" applyAlignment="1" applyProtection="1">
      <alignment horizontal="center" vertical="center" wrapText="1"/>
    </xf>
    <xf numFmtId="0" fontId="4" fillId="13" borderId="24" xfId="0" applyFont="1" applyFill="1" applyBorder="1" applyAlignment="1" applyProtection="1">
      <alignment horizontal="center" vertical="center" wrapText="1"/>
    </xf>
    <xf numFmtId="43" fontId="2" fillId="13" borderId="25" xfId="1" applyFont="1" applyFill="1" applyBorder="1" applyAlignment="1" applyProtection="1">
      <alignment horizontal="center" vertical="center" wrapText="1"/>
    </xf>
    <xf numFmtId="0" fontId="3" fillId="13" borderId="5" xfId="1" applyNumberFormat="1" applyFont="1" applyFill="1" applyBorder="1" applyAlignment="1" applyProtection="1">
      <alignment horizontal="center" vertical="center" wrapText="1"/>
    </xf>
    <xf numFmtId="0" fontId="3" fillId="13" borderId="6" xfId="1" applyNumberFormat="1" applyFont="1" applyFill="1" applyBorder="1" applyAlignment="1" applyProtection="1">
      <alignment horizontal="center" vertical="center" wrapText="1"/>
    </xf>
    <xf numFmtId="0" fontId="4" fillId="13" borderId="4" xfId="0" applyFont="1" applyFill="1" applyBorder="1" applyAlignment="1" applyProtection="1">
      <alignment horizontal="center" vertical="center" wrapText="1"/>
    </xf>
    <xf numFmtId="43" fontId="2" fillId="13" borderId="5" xfId="1" applyFont="1" applyFill="1" applyBorder="1" applyAlignment="1" applyProtection="1">
      <alignment horizontal="center" vertical="center" wrapText="1"/>
    </xf>
    <xf numFmtId="0" fontId="3" fillId="13" borderId="1" xfId="1" applyNumberFormat="1" applyFont="1" applyFill="1" applyBorder="1" applyAlignment="1" applyProtection="1">
      <alignment horizontal="center" vertical="center" wrapText="1"/>
    </xf>
    <xf numFmtId="0" fontId="3" fillId="13" borderId="3" xfId="1" applyNumberFormat="1" applyFont="1" applyFill="1" applyBorder="1" applyAlignment="1" applyProtection="1">
      <alignment horizontal="center" vertical="center" wrapText="1"/>
    </xf>
    <xf numFmtId="0" fontId="4" fillId="13" borderId="2" xfId="0" applyFont="1" applyFill="1" applyBorder="1" applyAlignment="1" applyProtection="1">
      <alignment horizontal="center" vertical="center" wrapText="1"/>
    </xf>
    <xf numFmtId="43" fontId="2" fillId="13" borderId="1" xfId="1" applyFont="1" applyFill="1" applyBorder="1" applyAlignment="1" applyProtection="1">
      <alignment horizontal="center" vertical="center" wrapText="1"/>
    </xf>
    <xf numFmtId="0" fontId="4" fillId="13" borderId="9" xfId="0" applyFont="1" applyFill="1" applyBorder="1" applyAlignment="1" applyProtection="1">
      <alignment horizontal="center" vertical="center" wrapText="1"/>
    </xf>
    <xf numFmtId="43" fontId="2" fillId="13" borderId="7" xfId="1" applyFont="1" applyFill="1" applyBorder="1" applyAlignment="1" applyProtection="1">
      <alignment horizontal="center" vertical="center" wrapText="1"/>
    </xf>
    <xf numFmtId="0" fontId="3" fillId="27" borderId="5" xfId="1" applyNumberFormat="1" applyFont="1" applyFill="1" applyBorder="1" applyAlignment="1" applyProtection="1">
      <alignment horizontal="center" vertical="center" wrapText="1"/>
    </xf>
    <xf numFmtId="0" fontId="3" fillId="27" borderId="6" xfId="1" applyNumberFormat="1" applyFont="1" applyFill="1" applyBorder="1" applyAlignment="1" applyProtection="1">
      <alignment horizontal="center" vertical="center" wrapText="1"/>
    </xf>
    <xf numFmtId="43" fontId="2" fillId="27" borderId="5" xfId="1" applyFont="1" applyFill="1" applyBorder="1" applyAlignment="1" applyProtection="1">
      <alignment horizontal="center" vertical="center" wrapText="1"/>
    </xf>
    <xf numFmtId="0" fontId="3" fillId="27" borderId="1" xfId="1" applyNumberFormat="1" applyFont="1" applyFill="1" applyBorder="1" applyAlignment="1" applyProtection="1">
      <alignment horizontal="center" vertical="center" wrapText="1"/>
    </xf>
    <xf numFmtId="0" fontId="3" fillId="27" borderId="3" xfId="1" applyNumberFormat="1" applyFont="1" applyFill="1" applyBorder="1" applyAlignment="1" applyProtection="1">
      <alignment horizontal="center" vertical="center" wrapText="1"/>
    </xf>
    <xf numFmtId="43" fontId="2" fillId="27" borderId="1" xfId="1" applyFont="1" applyFill="1" applyBorder="1" applyAlignment="1" applyProtection="1">
      <alignment horizontal="center" vertical="center" wrapText="1"/>
    </xf>
    <xf numFmtId="0" fontId="3" fillId="27" borderId="7" xfId="1" applyNumberFormat="1" applyFont="1" applyFill="1" applyBorder="1" applyAlignment="1" applyProtection="1">
      <alignment horizontal="center" vertical="center" wrapText="1"/>
    </xf>
    <xf numFmtId="0" fontId="3" fillId="27" borderId="8" xfId="1" applyNumberFormat="1" applyFont="1" applyFill="1" applyBorder="1" applyAlignment="1" applyProtection="1">
      <alignment horizontal="center" vertical="center" wrapText="1"/>
    </xf>
    <xf numFmtId="43" fontId="2" fillId="27" borderId="7" xfId="1" applyFont="1" applyFill="1" applyBorder="1" applyAlignment="1" applyProtection="1">
      <alignment horizontal="center" vertical="center" wrapText="1"/>
    </xf>
    <xf numFmtId="0" fontId="3" fillId="29" borderId="5" xfId="1" applyNumberFormat="1" applyFont="1" applyFill="1" applyBorder="1" applyAlignment="1" applyProtection="1">
      <alignment horizontal="center" vertical="center" wrapText="1"/>
    </xf>
    <xf numFmtId="0" fontId="3" fillId="29" borderId="6" xfId="1" applyNumberFormat="1" applyFont="1" applyFill="1" applyBorder="1" applyAlignment="1" applyProtection="1">
      <alignment horizontal="center" vertical="center" wrapText="1"/>
    </xf>
    <xf numFmtId="43" fontId="2" fillId="29" borderId="5" xfId="1" applyFont="1" applyFill="1" applyBorder="1" applyAlignment="1" applyProtection="1">
      <alignment horizontal="center" vertical="center" wrapText="1"/>
    </xf>
    <xf numFmtId="0" fontId="3" fillId="29" borderId="1" xfId="1" applyNumberFormat="1" applyFont="1" applyFill="1" applyBorder="1" applyAlignment="1" applyProtection="1">
      <alignment horizontal="center" vertical="center" wrapText="1"/>
    </xf>
    <xf numFmtId="0" fontId="3" fillId="29" borderId="3" xfId="1" applyNumberFormat="1" applyFont="1" applyFill="1" applyBorder="1" applyAlignment="1" applyProtection="1">
      <alignment horizontal="center" vertical="center" wrapText="1"/>
    </xf>
    <xf numFmtId="43" fontId="2" fillId="29" borderId="7" xfId="1" applyFont="1" applyFill="1" applyBorder="1" applyAlignment="1" applyProtection="1">
      <alignment horizontal="center" vertical="center" wrapText="1"/>
    </xf>
    <xf numFmtId="0" fontId="3" fillId="29" borderId="8" xfId="1" applyNumberFormat="1" applyFont="1" applyFill="1" applyBorder="1" applyAlignment="1" applyProtection="1">
      <alignment horizontal="left" vertical="center" wrapText="1"/>
      <protection locked="0"/>
    </xf>
    <xf numFmtId="0" fontId="3" fillId="14" borderId="5" xfId="1" applyNumberFormat="1" applyFont="1" applyFill="1" applyBorder="1" applyAlignment="1" applyProtection="1">
      <alignment horizontal="center" vertical="center" wrapText="1"/>
    </xf>
    <xf numFmtId="0" fontId="3" fillId="14" borderId="6" xfId="1" applyNumberFormat="1" applyFont="1" applyFill="1" applyBorder="1" applyAlignment="1" applyProtection="1">
      <alignment horizontal="center" vertical="center" wrapText="1"/>
    </xf>
    <xf numFmtId="0" fontId="3" fillId="14" borderId="8" xfId="1" applyNumberFormat="1" applyFont="1" applyFill="1" applyBorder="1" applyAlignment="1" applyProtection="1">
      <alignment horizontal="left" vertical="center" wrapText="1"/>
      <protection locked="0"/>
    </xf>
    <xf numFmtId="0" fontId="4" fillId="22" borderId="1" xfId="1" applyNumberFormat="1" applyFont="1" applyFill="1" applyBorder="1" applyAlignment="1">
      <alignment horizontal="center" vertical="center" wrapText="1"/>
    </xf>
    <xf numFmtId="0" fontId="5" fillId="22" borderId="1" xfId="0" applyNumberFormat="1" applyFont="1" applyFill="1" applyBorder="1" applyAlignment="1" applyProtection="1">
      <alignment horizontal="center" vertical="center" wrapText="1"/>
    </xf>
    <xf numFmtId="0" fontId="5" fillId="22" borderId="7" xfId="0" applyNumberFormat="1" applyFont="1" applyFill="1" applyBorder="1" applyAlignment="1" applyProtection="1">
      <alignment horizontal="center" vertical="center" wrapText="1"/>
    </xf>
    <xf numFmtId="0" fontId="4" fillId="10" borderId="5" xfId="1" applyNumberFormat="1" applyFont="1" applyFill="1" applyBorder="1" applyAlignment="1">
      <alignment horizontal="center" vertical="center" wrapText="1"/>
    </xf>
    <xf numFmtId="0" fontId="4" fillId="10" borderId="1" xfId="1" applyNumberFormat="1" applyFont="1" applyFill="1" applyBorder="1" applyAlignment="1">
      <alignment horizontal="center" vertical="center" wrapText="1"/>
    </xf>
    <xf numFmtId="0" fontId="4" fillId="10" borderId="7" xfId="1" applyNumberFormat="1" applyFont="1" applyFill="1" applyBorder="1" applyAlignment="1">
      <alignment horizontal="center" vertical="center" wrapText="1"/>
    </xf>
    <xf numFmtId="0" fontId="4" fillId="11" borderId="5" xfId="1" applyNumberFormat="1" applyFont="1" applyFill="1" applyBorder="1" applyAlignment="1">
      <alignment horizontal="center" vertical="center" wrapText="1"/>
    </xf>
    <xf numFmtId="0" fontId="4" fillId="11" borderId="1" xfId="1" applyNumberFormat="1" applyFont="1" applyFill="1" applyBorder="1" applyAlignment="1">
      <alignment horizontal="center" vertical="center" wrapText="1"/>
    </xf>
    <xf numFmtId="0" fontId="4" fillId="11" borderId="7" xfId="1" applyNumberFormat="1" applyFont="1" applyFill="1" applyBorder="1" applyAlignment="1" applyProtection="1">
      <alignment horizontal="center" vertical="center" wrapText="1"/>
    </xf>
    <xf numFmtId="0" fontId="4" fillId="11" borderId="1" xfId="1" applyNumberFormat="1" applyFont="1" applyFill="1" applyBorder="1" applyAlignment="1" applyProtection="1">
      <alignment horizontal="center" vertical="center" wrapText="1"/>
    </xf>
    <xf numFmtId="0" fontId="4" fillId="12" borderId="5" xfId="1" applyNumberFormat="1" applyFont="1" applyFill="1" applyBorder="1" applyAlignment="1" applyProtection="1">
      <alignment horizontal="center" vertical="center" wrapText="1"/>
    </xf>
    <xf numFmtId="0" fontId="4" fillId="12" borderId="7" xfId="1" applyNumberFormat="1" applyFont="1" applyFill="1" applyBorder="1" applyAlignment="1" applyProtection="1">
      <alignment horizontal="center" vertical="center" wrapText="1"/>
    </xf>
    <xf numFmtId="0" fontId="4" fillId="12" borderId="5" xfId="1" applyNumberFormat="1" applyFont="1" applyFill="1" applyBorder="1" applyAlignment="1">
      <alignment horizontal="center" vertical="center" wrapText="1"/>
    </xf>
    <xf numFmtId="0" fontId="4" fillId="12" borderId="7" xfId="1" applyNumberFormat="1" applyFont="1" applyFill="1" applyBorder="1" applyAlignment="1">
      <alignment horizontal="center" vertical="center" wrapText="1"/>
    </xf>
    <xf numFmtId="0" fontId="4" fillId="26" borderId="5" xfId="1" applyNumberFormat="1" applyFont="1" applyFill="1" applyBorder="1" applyAlignment="1" applyProtection="1">
      <alignment horizontal="center" vertical="center" wrapText="1"/>
      <protection locked="0"/>
    </xf>
    <xf numFmtId="0" fontId="4" fillId="26" borderId="7" xfId="1" applyNumberFormat="1" applyFont="1" applyFill="1" applyBorder="1" applyAlignment="1" applyProtection="1">
      <alignment horizontal="center" vertical="center" wrapText="1"/>
      <protection locked="0"/>
    </xf>
    <xf numFmtId="0" fontId="4" fillId="9" borderId="25" xfId="1" applyNumberFormat="1" applyFont="1" applyFill="1" applyBorder="1" applyAlignment="1" applyProtection="1">
      <alignment horizontal="center" vertical="center" wrapText="1"/>
      <protection locked="0"/>
    </xf>
    <xf numFmtId="0" fontId="4" fillId="21" borderId="5" xfId="1" applyNumberFormat="1" applyFont="1" applyFill="1" applyBorder="1" applyAlignment="1" applyProtection="1">
      <alignment horizontal="center" vertical="center" wrapText="1"/>
      <protection locked="0"/>
    </xf>
    <xf numFmtId="0" fontId="4" fillId="21" borderId="7" xfId="1" applyNumberFormat="1" applyFont="1" applyFill="1" applyBorder="1" applyAlignment="1" applyProtection="1">
      <alignment horizontal="center" vertical="center" wrapText="1"/>
    </xf>
    <xf numFmtId="0" fontId="4" fillId="21" borderId="1" xfId="1" applyNumberFormat="1" applyFont="1" applyFill="1" applyBorder="1" applyAlignment="1" applyProtection="1">
      <alignment horizontal="center" vertical="center" wrapText="1"/>
      <protection locked="0"/>
    </xf>
    <xf numFmtId="0" fontId="4" fillId="21" borderId="7" xfId="1" applyNumberFormat="1" applyFont="1" applyFill="1" applyBorder="1" applyAlignment="1" applyProtection="1">
      <alignment horizontal="center" vertical="center" wrapText="1"/>
      <protection locked="0"/>
    </xf>
    <xf numFmtId="0" fontId="4" fillId="13" borderId="25" xfId="1" applyNumberFormat="1" applyFont="1" applyFill="1" applyBorder="1" applyAlignment="1" applyProtection="1">
      <alignment horizontal="center" vertical="center" wrapText="1"/>
    </xf>
    <xf numFmtId="0" fontId="4" fillId="13" borderId="5" xfId="1" applyNumberFormat="1" applyFont="1" applyFill="1" applyBorder="1" applyAlignment="1" applyProtection="1">
      <alignment horizontal="center" vertical="center" wrapText="1"/>
    </xf>
    <xf numFmtId="0" fontId="4" fillId="13" borderId="1" xfId="1" applyNumberFormat="1" applyFont="1" applyFill="1" applyBorder="1" applyAlignment="1" applyProtection="1">
      <alignment horizontal="center" vertical="center" wrapText="1"/>
    </xf>
    <xf numFmtId="0" fontId="4" fillId="13" borderId="7" xfId="0" applyNumberFormat="1" applyFont="1" applyFill="1" applyBorder="1" applyAlignment="1" applyProtection="1">
      <alignment horizontal="center" vertical="center" wrapText="1"/>
    </xf>
    <xf numFmtId="0" fontId="4" fillId="27" borderId="1" xfId="1" applyNumberFormat="1" applyFont="1" applyFill="1" applyBorder="1" applyAlignment="1" applyProtection="1">
      <alignment horizontal="center" vertical="center" wrapText="1"/>
      <protection locked="0"/>
    </xf>
    <xf numFmtId="0" fontId="4" fillId="27" borderId="7" xfId="1" applyNumberFormat="1" applyFont="1" applyFill="1" applyBorder="1" applyAlignment="1" applyProtection="1">
      <alignment horizontal="center" vertical="center" wrapText="1"/>
      <protection locked="0"/>
    </xf>
    <xf numFmtId="0" fontId="4" fillId="27" borderId="5" xfId="1" applyNumberFormat="1" applyFont="1" applyFill="1" applyBorder="1" applyAlignment="1" applyProtection="1">
      <alignment horizontal="center" vertical="center" wrapText="1"/>
      <protection locked="0"/>
    </xf>
    <xf numFmtId="0" fontId="4" fillId="27" borderId="1" xfId="1" applyNumberFormat="1" applyFont="1" applyFill="1" applyBorder="1" applyAlignment="1" applyProtection="1">
      <alignment horizontal="center" vertical="center" wrapText="1"/>
    </xf>
    <xf numFmtId="0" fontId="4" fillId="27" borderId="7" xfId="1" applyNumberFormat="1" applyFont="1" applyFill="1" applyBorder="1" applyAlignment="1" applyProtection="1">
      <alignment horizontal="center" vertical="center" wrapText="1"/>
    </xf>
    <xf numFmtId="0" fontId="4" fillId="29" borderId="5" xfId="1" applyNumberFormat="1" applyFont="1" applyFill="1" applyBorder="1" applyAlignment="1" applyProtection="1">
      <alignment horizontal="center" vertical="center" wrapText="1"/>
      <protection locked="0"/>
    </xf>
    <xf numFmtId="0" fontId="4" fillId="29" borderId="7" xfId="0" applyNumberFormat="1" applyFont="1" applyFill="1" applyBorder="1" applyAlignment="1" applyProtection="1">
      <alignment horizontal="center" vertical="center" wrapText="1"/>
    </xf>
    <xf numFmtId="0" fontId="4" fillId="14" borderId="7" xfId="1" applyNumberFormat="1" applyFont="1" applyFill="1" applyBorder="1" applyAlignment="1" applyProtection="1">
      <alignment horizontal="center" vertical="center" wrapText="1"/>
      <protection locked="0"/>
    </xf>
    <xf numFmtId="43" fontId="4" fillId="22" borderId="5" xfId="1" applyNumberFormat="1" applyFont="1" applyFill="1" applyBorder="1" applyAlignment="1" applyProtection="1">
      <alignment horizontal="center" vertical="center" wrapText="1"/>
    </xf>
    <xf numFmtId="43" fontId="4" fillId="10" borderId="5" xfId="1" applyNumberFormat="1" applyFont="1" applyFill="1" applyBorder="1" applyAlignment="1" applyProtection="1">
      <alignment horizontal="center" vertical="center" wrapText="1"/>
    </xf>
    <xf numFmtId="43" fontId="4" fillId="11" borderId="5" xfId="1" applyNumberFormat="1" applyFont="1" applyFill="1" applyBorder="1" applyAlignment="1" applyProtection="1">
      <alignment horizontal="center" vertical="center" wrapText="1"/>
    </xf>
    <xf numFmtId="43" fontId="4" fillId="11" borderId="1" xfId="1" applyNumberFormat="1" applyFont="1" applyFill="1" applyBorder="1" applyAlignment="1" applyProtection="1">
      <alignment horizontal="center" vertical="center" wrapText="1"/>
    </xf>
    <xf numFmtId="43" fontId="4" fillId="12" borderId="7" xfId="1" applyNumberFormat="1" applyFont="1" applyFill="1" applyBorder="1" applyAlignment="1" applyProtection="1">
      <alignment horizontal="center" vertical="center" wrapText="1"/>
    </xf>
    <xf numFmtId="43" fontId="4" fillId="12" borderId="5" xfId="1" applyNumberFormat="1" applyFont="1" applyFill="1" applyBorder="1" applyAlignment="1" applyProtection="1">
      <alignment horizontal="center" vertical="center" wrapText="1"/>
    </xf>
    <xf numFmtId="43" fontId="4" fillId="9" borderId="25" xfId="1" applyNumberFormat="1" applyFont="1" applyFill="1" applyBorder="1" applyAlignment="1">
      <alignment horizontal="center" vertical="center" wrapText="1"/>
    </xf>
    <xf numFmtId="17" fontId="4" fillId="13" borderId="7" xfId="1" applyNumberFormat="1" applyFont="1" applyFill="1" applyBorder="1" applyAlignment="1" applyProtection="1">
      <alignment horizontal="center" vertical="center" wrapText="1"/>
    </xf>
    <xf numFmtId="43" fontId="4" fillId="27" borderId="1" xfId="1" applyFont="1" applyFill="1" applyBorder="1" applyAlignment="1" applyProtection="1">
      <alignment horizontal="center" vertical="center" wrapText="1"/>
    </xf>
    <xf numFmtId="43" fontId="4" fillId="27" borderId="7" xfId="1" applyFont="1" applyFill="1" applyBorder="1" applyAlignment="1" applyProtection="1">
      <alignment horizontal="center" vertical="center" wrapText="1"/>
    </xf>
    <xf numFmtId="43" fontId="4" fillId="29" borderId="5" xfId="1" applyFont="1" applyFill="1" applyBorder="1" applyAlignment="1" applyProtection="1">
      <alignment horizontal="center" vertical="center" wrapText="1"/>
    </xf>
    <xf numFmtId="43" fontId="3" fillId="29" borderId="1" xfId="1" applyFont="1" applyFill="1" applyBorder="1" applyAlignment="1" applyProtection="1">
      <alignment horizontal="center" vertical="center" wrapText="1"/>
    </xf>
    <xf numFmtId="166" fontId="4" fillId="22" borderId="1" xfId="1" applyNumberFormat="1" applyFont="1" applyFill="1" applyBorder="1" applyAlignment="1" applyProtection="1">
      <alignment horizontal="center" vertical="center" wrapText="1"/>
    </xf>
    <xf numFmtId="166" fontId="4" fillId="22" borderId="7" xfId="1" applyNumberFormat="1" applyFont="1" applyFill="1" applyBorder="1" applyAlignment="1" applyProtection="1">
      <alignment horizontal="center" vertical="center" wrapText="1"/>
    </xf>
    <xf numFmtId="166" fontId="4" fillId="10" borderId="1" xfId="1" applyNumberFormat="1" applyFont="1" applyFill="1" applyBorder="1" applyAlignment="1" applyProtection="1">
      <alignment horizontal="center" vertical="center" wrapText="1"/>
    </xf>
    <xf numFmtId="166" fontId="4" fillId="10" borderId="7" xfId="1" applyNumberFormat="1" applyFont="1" applyFill="1" applyBorder="1" applyAlignment="1" applyProtection="1">
      <alignment horizontal="center" vertical="center" wrapText="1"/>
    </xf>
    <xf numFmtId="166" fontId="4" fillId="11" borderId="7" xfId="1" applyNumberFormat="1" applyFont="1" applyFill="1" applyBorder="1" applyAlignment="1" applyProtection="1">
      <alignment horizontal="center" vertical="center" wrapText="1"/>
    </xf>
    <xf numFmtId="166" fontId="4" fillId="11" borderId="1" xfId="1" applyNumberFormat="1" applyFont="1" applyFill="1" applyBorder="1" applyAlignment="1" applyProtection="1">
      <alignment horizontal="center" vertical="center" wrapText="1"/>
    </xf>
    <xf numFmtId="166" fontId="4" fillId="12" borderId="5" xfId="1" applyNumberFormat="1" applyFont="1" applyFill="1" applyBorder="1" applyAlignment="1" applyProtection="1">
      <alignment horizontal="center" vertical="center" wrapText="1"/>
    </xf>
    <xf numFmtId="166" fontId="4" fillId="12" borderId="7" xfId="1" applyNumberFormat="1" applyFont="1" applyFill="1" applyBorder="1" applyAlignment="1" applyProtection="1">
      <alignment horizontal="center" vertical="center" wrapText="1"/>
    </xf>
    <xf numFmtId="166" fontId="4" fillId="21" borderId="7" xfId="1" applyNumberFormat="1" applyFont="1" applyFill="1" applyBorder="1" applyAlignment="1" applyProtection="1">
      <alignment horizontal="center" vertical="center" wrapText="1"/>
    </xf>
    <xf numFmtId="166" fontId="4" fillId="13" borderId="25" xfId="1" applyNumberFormat="1" applyFont="1" applyFill="1" applyBorder="1" applyAlignment="1" applyProtection="1">
      <alignment horizontal="center" vertical="center" wrapText="1"/>
    </xf>
    <xf numFmtId="166" fontId="4" fillId="13" borderId="1" xfId="1" applyNumberFormat="1" applyFont="1" applyFill="1" applyBorder="1" applyAlignment="1" applyProtection="1">
      <alignment horizontal="center" vertical="center" wrapText="1"/>
    </xf>
    <xf numFmtId="166" fontId="4" fillId="27" borderId="1" xfId="1" applyNumberFormat="1" applyFont="1" applyFill="1" applyBorder="1" applyAlignment="1" applyProtection="1">
      <alignment horizontal="center" vertical="center" wrapText="1"/>
    </xf>
    <xf numFmtId="166" fontId="4" fillId="27" borderId="7" xfId="1" applyNumberFormat="1" applyFont="1" applyFill="1" applyBorder="1" applyAlignment="1" applyProtection="1">
      <alignment horizontal="center" vertical="center" wrapText="1"/>
    </xf>
    <xf numFmtId="15" fontId="4" fillId="11" borderId="5" xfId="1" applyNumberFormat="1" applyFont="1" applyFill="1" applyBorder="1" applyAlignment="1" applyProtection="1">
      <alignment horizontal="center" vertical="center" wrapText="1"/>
    </xf>
    <xf numFmtId="15" fontId="4" fillId="10" borderId="1" xfId="1" applyNumberFormat="1" applyFont="1" applyFill="1" applyBorder="1" applyAlignment="1" applyProtection="1">
      <alignment horizontal="center" vertical="center" wrapText="1"/>
    </xf>
    <xf numFmtId="15" fontId="4" fillId="22" borderId="11" xfId="1" applyNumberFormat="1" applyFont="1" applyFill="1" applyBorder="1" applyAlignment="1" applyProtection="1">
      <alignment horizontal="center" vertical="center" wrapText="1"/>
    </xf>
    <xf numFmtId="166" fontId="12" fillId="4" borderId="25" xfId="0" applyNumberFormat="1" applyFont="1" applyFill="1" applyBorder="1" applyAlignment="1">
      <alignment horizontal="center" vertical="center" wrapText="1"/>
    </xf>
    <xf numFmtId="0" fontId="11" fillId="0" borderId="0" xfId="0" applyFont="1" applyAlignment="1">
      <alignment horizontal="center" vertical="center"/>
    </xf>
    <xf numFmtId="166" fontId="11" fillId="22" borderId="5" xfId="1" applyNumberFormat="1" applyFont="1" applyFill="1" applyBorder="1" applyAlignment="1" applyProtection="1">
      <alignment horizontal="center" vertical="center" wrapText="1"/>
    </xf>
    <xf numFmtId="166" fontId="11" fillId="22" borderId="1" xfId="1" applyNumberFormat="1" applyFont="1" applyFill="1" applyBorder="1" applyAlignment="1" applyProtection="1">
      <alignment horizontal="center" vertical="center" wrapText="1"/>
    </xf>
    <xf numFmtId="166" fontId="11" fillId="10" borderId="1" xfId="1" applyNumberFormat="1" applyFont="1" applyFill="1" applyBorder="1" applyAlignment="1" applyProtection="1">
      <alignment horizontal="center" vertical="center" wrapText="1"/>
    </xf>
    <xf numFmtId="43" fontId="16" fillId="11" borderId="5" xfId="1" applyNumberFormat="1" applyFont="1" applyFill="1" applyBorder="1" applyAlignment="1" applyProtection="1">
      <alignment horizontal="center" vertical="center" wrapText="1"/>
    </xf>
    <xf numFmtId="43" fontId="16" fillId="11" borderId="1" xfId="1" applyNumberFormat="1" applyFont="1" applyFill="1" applyBorder="1" applyAlignment="1" applyProtection="1">
      <alignment horizontal="center" vertical="center" wrapText="1"/>
    </xf>
    <xf numFmtId="43" fontId="16" fillId="11" borderId="7" xfId="1" applyNumberFormat="1" applyFont="1" applyFill="1" applyBorder="1" applyAlignment="1" applyProtection="1">
      <alignment horizontal="center" vertical="center" wrapText="1"/>
    </xf>
    <xf numFmtId="0" fontId="5" fillId="21" borderId="1" xfId="0" applyFont="1" applyFill="1" applyBorder="1" applyAlignment="1" applyProtection="1">
      <alignment horizontal="center" vertical="center" wrapText="1"/>
    </xf>
    <xf numFmtId="0" fontId="11" fillId="0" borderId="0" xfId="0" applyFont="1" applyBorder="1" applyAlignment="1">
      <alignment horizontal="center" vertical="center"/>
    </xf>
    <xf numFmtId="0" fontId="5" fillId="27" borderId="1" xfId="0" applyFont="1" applyFill="1" applyBorder="1" applyAlignment="1" applyProtection="1">
      <alignment horizontal="center" vertical="center" wrapText="1"/>
    </xf>
    <xf numFmtId="166" fontId="11" fillId="29" borderId="5" xfId="1" applyNumberFormat="1" applyFont="1" applyFill="1" applyBorder="1" applyAlignment="1" applyProtection="1">
      <alignment horizontal="center" vertical="center" wrapText="1"/>
    </xf>
    <xf numFmtId="166" fontId="11" fillId="29" borderId="1" xfId="1" applyNumberFormat="1" applyFont="1" applyFill="1" applyBorder="1" applyAlignment="1" applyProtection="1">
      <alignment horizontal="center" vertical="center" wrapText="1"/>
    </xf>
    <xf numFmtId="165" fontId="16" fillId="3" borderId="51" xfId="1" applyNumberFormat="1" applyFont="1" applyFill="1" applyBorder="1" applyAlignment="1">
      <alignment horizontal="center" vertical="center"/>
    </xf>
    <xf numFmtId="0" fontId="16" fillId="4" borderId="48" xfId="0" applyFont="1" applyFill="1" applyBorder="1" applyAlignment="1">
      <alignment horizontal="center" vertical="center"/>
    </xf>
    <xf numFmtId="0" fontId="16" fillId="4" borderId="49" xfId="0" applyFont="1" applyFill="1" applyBorder="1" applyAlignment="1">
      <alignment horizontal="center" vertical="center"/>
    </xf>
    <xf numFmtId="43" fontId="11" fillId="0" borderId="20" xfId="0" applyNumberFormat="1" applyFont="1" applyBorder="1" applyAlignment="1">
      <alignment horizontal="center" vertical="center"/>
    </xf>
    <xf numFmtId="43" fontId="11" fillId="0" borderId="1" xfId="0" applyNumberFormat="1" applyFont="1" applyBorder="1" applyAlignment="1">
      <alignment horizontal="center" vertical="center"/>
    </xf>
    <xf numFmtId="164" fontId="16" fillId="14" borderId="45" xfId="0" applyNumberFormat="1" applyFont="1" applyFill="1" applyBorder="1" applyAlignment="1">
      <alignment horizontal="center" vertical="center"/>
    </xf>
    <xf numFmtId="167" fontId="16" fillId="14" borderId="24" xfId="0" applyNumberFormat="1" applyFont="1" applyFill="1" applyBorder="1" applyAlignment="1">
      <alignment horizontal="center" vertical="center"/>
    </xf>
    <xf numFmtId="0" fontId="16" fillId="0" borderId="45" xfId="0" applyFont="1" applyBorder="1" applyAlignment="1">
      <alignment horizontal="center" vertical="center"/>
    </xf>
    <xf numFmtId="0" fontId="16" fillId="0" borderId="60" xfId="0" applyFont="1" applyBorder="1" applyAlignment="1">
      <alignment horizontal="center" vertical="center"/>
    </xf>
    <xf numFmtId="0" fontId="16" fillId="0" borderId="25" xfId="0" applyFont="1" applyBorder="1" applyAlignment="1">
      <alignment horizontal="center" vertical="center"/>
    </xf>
    <xf numFmtId="0" fontId="16" fillId="4" borderId="52" xfId="0" applyFont="1" applyFill="1" applyBorder="1" applyAlignment="1">
      <alignment horizontal="center" vertical="center"/>
    </xf>
    <xf numFmtId="43" fontId="11" fillId="0" borderId="44" xfId="0" applyNumberFormat="1" applyFont="1" applyBorder="1" applyAlignment="1">
      <alignment horizontal="center" vertical="center"/>
    </xf>
    <xf numFmtId="43" fontId="11" fillId="0" borderId="11" xfId="0" applyNumberFormat="1" applyFont="1" applyBorder="1" applyAlignment="1">
      <alignment horizontal="center" vertical="center"/>
    </xf>
    <xf numFmtId="164" fontId="16" fillId="14" borderId="59" xfId="0" applyNumberFormat="1" applyFont="1" applyFill="1" applyBorder="1" applyAlignment="1">
      <alignment horizontal="center" vertical="center"/>
    </xf>
    <xf numFmtId="0" fontId="11" fillId="0" borderId="0" xfId="0" applyFont="1" applyAlignment="1" applyProtection="1">
      <alignment horizontal="center" vertical="center"/>
    </xf>
    <xf numFmtId="166" fontId="11" fillId="0" borderId="0" xfId="0" applyNumberFormat="1" applyFont="1" applyAlignment="1">
      <alignment horizontal="center" vertical="center"/>
    </xf>
    <xf numFmtId="0" fontId="11" fillId="0" borderId="0" xfId="0" applyNumberFormat="1" applyFont="1" applyAlignment="1">
      <alignment horizontal="center" vertical="center"/>
    </xf>
    <xf numFmtId="4" fontId="7" fillId="4" borderId="25" xfId="0" applyNumberFormat="1" applyFont="1" applyFill="1" applyBorder="1" applyAlignment="1" applyProtection="1">
      <alignment horizontal="center" vertical="center" wrapText="1"/>
    </xf>
    <xf numFmtId="4" fontId="3" fillId="10" borderId="1" xfId="1" applyNumberFormat="1" applyFont="1" applyFill="1" applyBorder="1" applyAlignment="1" applyProtection="1">
      <alignment horizontal="center" vertical="center" wrapText="1"/>
    </xf>
    <xf numFmtId="4" fontId="3" fillId="10" borderId="5" xfId="1" applyNumberFormat="1" applyFont="1" applyFill="1" applyBorder="1" applyAlignment="1" applyProtection="1">
      <alignment horizontal="center" vertical="center" wrapText="1"/>
    </xf>
    <xf numFmtId="4" fontId="3" fillId="10" borderId="7" xfId="1" applyNumberFormat="1" applyFont="1" applyFill="1" applyBorder="1" applyAlignment="1" applyProtection="1">
      <alignment horizontal="center" vertical="center" wrapText="1"/>
    </xf>
    <xf numFmtId="4" fontId="3" fillId="11" borderId="1" xfId="1" applyNumberFormat="1" applyFont="1" applyFill="1" applyBorder="1" applyAlignment="1" applyProtection="1">
      <alignment horizontal="center" vertical="center" wrapText="1"/>
    </xf>
    <xf numFmtId="4" fontId="3" fillId="9" borderId="5" xfId="1" applyNumberFormat="1" applyFont="1" applyFill="1" applyBorder="1" applyAlignment="1" applyProtection="1">
      <alignment horizontal="center" vertical="center" wrapText="1"/>
    </xf>
    <xf numFmtId="4" fontId="3" fillId="21" borderId="5" xfId="1" applyNumberFormat="1" applyFont="1" applyFill="1" applyBorder="1" applyAlignment="1" applyProtection="1">
      <alignment horizontal="center" vertical="center" wrapText="1"/>
    </xf>
    <xf numFmtId="4" fontId="3" fillId="21" borderId="1" xfId="1" applyNumberFormat="1" applyFont="1" applyFill="1" applyBorder="1" applyAlignment="1" applyProtection="1">
      <alignment horizontal="center" vertical="center" wrapText="1"/>
    </xf>
    <xf numFmtId="4" fontId="3" fillId="13" borderId="7" xfId="1" applyNumberFormat="1" applyFont="1" applyFill="1" applyBorder="1" applyAlignment="1" applyProtection="1">
      <alignment horizontal="center" vertical="center" wrapText="1"/>
    </xf>
    <xf numFmtId="4" fontId="3" fillId="29" borderId="5" xfId="1" applyNumberFormat="1" applyFont="1" applyFill="1" applyBorder="1" applyAlignment="1" applyProtection="1">
      <alignment horizontal="center" vertical="center" wrapText="1"/>
    </xf>
    <xf numFmtId="4" fontId="3" fillId="14" borderId="5" xfId="1" applyNumberFormat="1" applyFont="1" applyFill="1" applyBorder="1" applyAlignment="1" applyProtection="1">
      <alignment horizontal="center" vertical="center" wrapText="1"/>
    </xf>
    <xf numFmtId="0" fontId="11" fillId="10" borderId="2" xfId="1" applyNumberFormat="1" applyFont="1" applyFill="1" applyBorder="1" applyAlignment="1" applyProtection="1">
      <alignment horizontal="center" vertical="center" wrapText="1"/>
    </xf>
    <xf numFmtId="166" fontId="11" fillId="11" borderId="5" xfId="1" applyNumberFormat="1" applyFont="1" applyFill="1" applyBorder="1" applyAlignment="1" applyProtection="1">
      <alignment horizontal="center" vertical="center" wrapText="1"/>
    </xf>
    <xf numFmtId="166" fontId="4" fillId="21" borderId="5" xfId="1" applyNumberFormat="1" applyFont="1" applyFill="1" applyBorder="1" applyAlignment="1" applyProtection="1">
      <alignment horizontal="center" vertical="center" wrapText="1"/>
    </xf>
    <xf numFmtId="15" fontId="4" fillId="2" borderId="5" xfId="1" applyNumberFormat="1" applyFont="1" applyFill="1" applyBorder="1" applyAlignment="1" applyProtection="1">
      <alignment horizontal="center" vertical="center" wrapText="1"/>
    </xf>
    <xf numFmtId="17" fontId="4" fillId="27" borderId="1" xfId="1" applyNumberFormat="1" applyFont="1" applyFill="1" applyBorder="1" applyAlignment="1" applyProtection="1">
      <alignment horizontal="center" vertical="center" wrapText="1"/>
    </xf>
    <xf numFmtId="166" fontId="11" fillId="12" borderId="7" xfId="1" applyNumberFormat="1" applyFont="1" applyFill="1" applyBorder="1" applyAlignment="1" applyProtection="1">
      <alignment horizontal="center" vertical="center" wrapText="1"/>
    </xf>
    <xf numFmtId="43" fontId="4" fillId="2" borderId="5" xfId="1" applyFont="1" applyFill="1" applyBorder="1" applyAlignment="1" applyProtection="1">
      <alignment horizontal="center" vertical="center" wrapText="1"/>
    </xf>
    <xf numFmtId="166" fontId="11" fillId="2" borderId="5" xfId="1" applyNumberFormat="1" applyFont="1" applyFill="1" applyBorder="1" applyAlignment="1" applyProtection="1">
      <alignment horizontal="center" vertical="center" wrapText="1"/>
    </xf>
    <xf numFmtId="166" fontId="11" fillId="2" borderId="7" xfId="1" applyNumberFormat="1" applyFont="1" applyFill="1" applyBorder="1" applyAlignment="1" applyProtection="1">
      <alignment horizontal="center" vertical="center" wrapText="1"/>
    </xf>
    <xf numFmtId="165" fontId="11" fillId="0" borderId="0" xfId="0" applyNumberFormat="1" applyFont="1" applyAlignment="1">
      <alignment horizontal="center" vertical="center"/>
    </xf>
    <xf numFmtId="0" fontId="11" fillId="0" borderId="0" xfId="0" applyFont="1" applyAlignment="1">
      <alignment horizontal="center" vertical="center"/>
    </xf>
    <xf numFmtId="166" fontId="11" fillId="0" borderId="0" xfId="0" applyNumberFormat="1" applyFont="1" applyBorder="1" applyAlignment="1">
      <alignment vertical="center"/>
    </xf>
    <xf numFmtId="0" fontId="11" fillId="0" borderId="0" xfId="0" applyFont="1" applyBorder="1" applyAlignment="1">
      <alignment vertical="center"/>
    </xf>
    <xf numFmtId="0" fontId="5" fillId="22" borderId="11" xfId="0" applyFont="1" applyFill="1" applyBorder="1" applyAlignment="1" applyProtection="1">
      <alignment horizontal="center" vertical="center" wrapText="1"/>
    </xf>
    <xf numFmtId="43" fontId="4" fillId="22" borderId="11" xfId="1" applyNumberFormat="1" applyFont="1" applyFill="1" applyBorder="1" applyAlignment="1" applyProtection="1">
      <alignment horizontal="center" vertical="center" wrapText="1"/>
    </xf>
    <xf numFmtId="0" fontId="3" fillId="10" borderId="3" xfId="1" applyNumberFormat="1" applyFont="1" applyFill="1" applyBorder="1" applyAlignment="1" applyProtection="1">
      <alignment horizontal="center" vertical="center" wrapText="1"/>
    </xf>
    <xf numFmtId="0" fontId="3" fillId="10" borderId="8" xfId="1" applyNumberFormat="1" applyFont="1" applyFill="1" applyBorder="1" applyAlignment="1" applyProtection="1">
      <alignment horizontal="center" vertical="center" wrapText="1"/>
    </xf>
    <xf numFmtId="0" fontId="5" fillId="10" borderId="2" xfId="0" applyFont="1" applyFill="1" applyBorder="1" applyAlignment="1" applyProtection="1">
      <alignment horizontal="center" vertical="center" wrapText="1"/>
    </xf>
    <xf numFmtId="0" fontId="5" fillId="10" borderId="9" xfId="0" applyFont="1" applyFill="1" applyBorder="1" applyAlignment="1" applyProtection="1">
      <alignment horizontal="center" vertical="center" wrapText="1"/>
    </xf>
    <xf numFmtId="0" fontId="4" fillId="27" borderId="4" xfId="0" applyFont="1" applyFill="1" applyBorder="1" applyAlignment="1" applyProtection="1">
      <alignment horizontal="center" vertical="center" wrapText="1"/>
    </xf>
    <xf numFmtId="0" fontId="4" fillId="27" borderId="2" xfId="0" applyFont="1" applyFill="1" applyBorder="1" applyAlignment="1" applyProtection="1">
      <alignment horizontal="center" vertical="center" wrapText="1"/>
    </xf>
    <xf numFmtId="0" fontId="4" fillId="27" borderId="9" xfId="0" applyFont="1" applyFill="1" applyBorder="1" applyAlignment="1" applyProtection="1">
      <alignment horizontal="center" vertical="center" wrapText="1"/>
    </xf>
    <xf numFmtId="167" fontId="16" fillId="14" borderId="25" xfId="0" applyNumberFormat="1" applyFont="1" applyFill="1" applyBorder="1" applyAlignment="1">
      <alignment horizontal="center" vertical="center"/>
    </xf>
    <xf numFmtId="0" fontId="16" fillId="0" borderId="25" xfId="0" applyFont="1" applyBorder="1" applyAlignment="1">
      <alignment horizontal="center" vertical="center" wrapText="1"/>
    </xf>
    <xf numFmtId="0" fontId="11" fillId="0" borderId="0" xfId="0" applyFont="1" applyBorder="1" applyAlignment="1">
      <alignment horizontal="center" vertical="center"/>
    </xf>
    <xf numFmtId="4" fontId="3" fillId="27" borderId="5" xfId="1" applyNumberFormat="1" applyFont="1" applyFill="1" applyBorder="1" applyAlignment="1" applyProtection="1">
      <alignment horizontal="center" vertical="center" wrapText="1"/>
    </xf>
    <xf numFmtId="4" fontId="3" fillId="27" borderId="1" xfId="1" applyNumberFormat="1" applyFont="1" applyFill="1" applyBorder="1" applyAlignment="1" applyProtection="1">
      <alignment horizontal="center" vertical="center" wrapText="1"/>
    </xf>
    <xf numFmtId="0" fontId="3" fillId="7" borderId="6" xfId="1" applyNumberFormat="1" applyFont="1" applyFill="1" applyBorder="1" applyAlignment="1" applyProtection="1">
      <alignment horizontal="center" vertical="center" wrapText="1"/>
    </xf>
    <xf numFmtId="4" fontId="3" fillId="7" borderId="5" xfId="1" applyNumberFormat="1" applyFont="1" applyFill="1" applyBorder="1" applyAlignment="1" applyProtection="1">
      <alignment horizontal="center" vertical="center" wrapText="1"/>
    </xf>
    <xf numFmtId="4" fontId="3" fillId="7" borderId="1" xfId="1" applyNumberFormat="1" applyFont="1" applyFill="1" applyBorder="1" applyAlignment="1" applyProtection="1">
      <alignment horizontal="center" vertical="center" wrapText="1"/>
    </xf>
    <xf numFmtId="0" fontId="3" fillId="21" borderId="72" xfId="1" applyNumberFormat="1" applyFont="1" applyFill="1" applyBorder="1" applyAlignment="1" applyProtection="1">
      <alignment horizontal="center" vertical="center" wrapText="1"/>
    </xf>
    <xf numFmtId="166" fontId="11" fillId="25" borderId="4" xfId="1" applyNumberFormat="1" applyFont="1" applyFill="1" applyBorder="1" applyAlignment="1" applyProtection="1">
      <alignment horizontal="center" vertical="center" wrapText="1"/>
    </xf>
    <xf numFmtId="0" fontId="7" fillId="4" borderId="18" xfId="0" applyFont="1" applyFill="1" applyBorder="1" applyAlignment="1">
      <alignment horizontal="center" vertical="center" wrapText="1"/>
    </xf>
    <xf numFmtId="0" fontId="7" fillId="4" borderId="45" xfId="0" applyFont="1" applyFill="1" applyBorder="1" applyAlignment="1">
      <alignment horizontal="center" vertical="center" wrapText="1"/>
    </xf>
    <xf numFmtId="0" fontId="7" fillId="4" borderId="34" xfId="0" applyFont="1" applyFill="1" applyBorder="1" applyAlignment="1">
      <alignment horizontal="center" vertical="center" wrapText="1"/>
    </xf>
    <xf numFmtId="0" fontId="7" fillId="4" borderId="35" xfId="0" applyFont="1" applyFill="1" applyBorder="1" applyAlignment="1">
      <alignment horizontal="center" vertical="center" wrapText="1"/>
    </xf>
    <xf numFmtId="0" fontId="7" fillId="4" borderId="35" xfId="0" applyNumberFormat="1" applyFont="1" applyFill="1" applyBorder="1" applyAlignment="1">
      <alignment horizontal="center" vertical="center" wrapText="1"/>
    </xf>
    <xf numFmtId="0" fontId="7" fillId="4" borderId="56" xfId="0" applyFont="1" applyFill="1" applyBorder="1" applyAlignment="1" applyProtection="1">
      <alignment horizontal="center" vertical="center" wrapText="1"/>
    </xf>
    <xf numFmtId="0" fontId="7" fillId="4" borderId="15" xfId="0" applyFont="1" applyFill="1" applyBorder="1" applyAlignment="1" applyProtection="1">
      <alignment horizontal="center" vertical="center" wrapText="1"/>
    </xf>
    <xf numFmtId="168" fontId="7" fillId="4" borderId="25" xfId="0" applyNumberFormat="1" applyFont="1" applyFill="1" applyBorder="1" applyAlignment="1">
      <alignment horizontal="center" vertical="center" wrapText="1"/>
    </xf>
    <xf numFmtId="0" fontId="7" fillId="4" borderId="45" xfId="0" applyNumberFormat="1" applyFont="1" applyFill="1" applyBorder="1" applyAlignment="1">
      <alignment horizontal="center" vertical="center" wrapText="1"/>
    </xf>
    <xf numFmtId="0" fontId="7" fillId="4" borderId="24" xfId="0" applyNumberFormat="1" applyFont="1" applyFill="1" applyBorder="1" applyAlignment="1">
      <alignment horizontal="center" vertical="center" wrapText="1"/>
    </xf>
    <xf numFmtId="0" fontId="12" fillId="31" borderId="60" xfId="0" applyFont="1" applyFill="1" applyBorder="1" applyAlignment="1">
      <alignment horizontal="center" vertical="center" wrapText="1"/>
    </xf>
    <xf numFmtId="0" fontId="12" fillId="31" borderId="25" xfId="0" applyFont="1" applyFill="1" applyBorder="1" applyAlignment="1">
      <alignment horizontal="center" vertical="center" wrapText="1"/>
    </xf>
    <xf numFmtId="0" fontId="12" fillId="2" borderId="25" xfId="0" applyFont="1" applyFill="1" applyBorder="1" applyAlignment="1">
      <alignment horizontal="center" vertical="center" wrapText="1"/>
    </xf>
    <xf numFmtId="0" fontId="12" fillId="5" borderId="25" xfId="0" applyFont="1" applyFill="1" applyBorder="1" applyAlignment="1">
      <alignment horizontal="center" vertical="center" wrapText="1"/>
    </xf>
    <xf numFmtId="0" fontId="12" fillId="31" borderId="27" xfId="0" applyFont="1" applyFill="1" applyBorder="1" applyAlignment="1">
      <alignment horizontal="center" vertical="center" wrapText="1"/>
    </xf>
    <xf numFmtId="43" fontId="7" fillId="4" borderId="25" xfId="0" applyNumberFormat="1" applyFont="1" applyFill="1" applyBorder="1" applyAlignment="1">
      <alignment horizontal="center" vertical="center" wrapText="1"/>
    </xf>
    <xf numFmtId="43" fontId="7" fillId="4" borderId="17" xfId="0" applyNumberFormat="1" applyFont="1" applyFill="1" applyBorder="1" applyAlignment="1">
      <alignment horizontal="center" vertical="center" wrapText="1"/>
    </xf>
    <xf numFmtId="0" fontId="12" fillId="4" borderId="16" xfId="0" applyFont="1" applyFill="1" applyBorder="1" applyAlignment="1">
      <alignment horizontal="center" vertical="center" wrapText="1"/>
    </xf>
    <xf numFmtId="0" fontId="19" fillId="4" borderId="45" xfId="0" applyFont="1" applyFill="1" applyBorder="1" applyAlignment="1">
      <alignment horizontal="center" vertical="center" wrapText="1"/>
    </xf>
    <xf numFmtId="0" fontId="0" fillId="0" borderId="0" xfId="0" applyBorder="1" applyAlignment="1">
      <alignment horizontal="center" vertical="center" wrapText="1"/>
    </xf>
    <xf numFmtId="0" fontId="3" fillId="6" borderId="18" xfId="0" applyFont="1" applyFill="1" applyBorder="1" applyAlignment="1">
      <alignment horizontal="center" vertical="center" wrapText="1"/>
    </xf>
    <xf numFmtId="0" fontId="3" fillId="7" borderId="72" xfId="1" applyNumberFormat="1" applyFont="1" applyFill="1" applyBorder="1" applyAlignment="1" applyProtection="1">
      <alignment horizontal="center" vertical="center" wrapText="1"/>
    </xf>
    <xf numFmtId="166" fontId="11" fillId="19" borderId="28" xfId="1" applyNumberFormat="1" applyFont="1" applyFill="1" applyBorder="1" applyAlignment="1" applyProtection="1">
      <alignment horizontal="center" vertical="center" wrapText="1"/>
    </xf>
    <xf numFmtId="168" fontId="4" fillId="22" borderId="11" xfId="1" applyNumberFormat="1" applyFont="1" applyFill="1" applyBorder="1" applyAlignment="1" applyProtection="1">
      <alignment horizontal="center" vertical="center" wrapText="1"/>
    </xf>
    <xf numFmtId="166" fontId="3" fillId="0" borderId="52" xfId="1" applyNumberFormat="1" applyFont="1" applyFill="1" applyBorder="1" applyAlignment="1" applyProtection="1">
      <alignment horizontal="center" vertical="center" wrapText="1"/>
    </xf>
    <xf numFmtId="0" fontId="11" fillId="18" borderId="28" xfId="1" applyNumberFormat="1" applyFont="1" applyFill="1" applyBorder="1" applyAlignment="1" applyProtection="1">
      <alignment horizontal="center" vertical="center" wrapText="1"/>
      <protection locked="0"/>
    </xf>
    <xf numFmtId="0" fontId="11" fillId="18" borderId="44" xfId="1" applyNumberFormat="1" applyFont="1" applyFill="1" applyBorder="1" applyAlignment="1" applyProtection="1">
      <alignment horizontal="center" vertical="center" wrapText="1"/>
      <protection locked="0"/>
    </xf>
    <xf numFmtId="0" fontId="11" fillId="18" borderId="11" xfId="1" applyNumberFormat="1" applyFont="1" applyFill="1" applyBorder="1" applyAlignment="1" applyProtection="1">
      <alignment horizontal="center" vertical="center" wrapText="1"/>
      <protection locked="0"/>
    </xf>
    <xf numFmtId="0" fontId="11" fillId="19" borderId="11" xfId="1" applyNumberFormat="1" applyFont="1" applyFill="1" applyBorder="1" applyAlignment="1" applyProtection="1">
      <alignment horizontal="center" vertical="center" wrapText="1"/>
      <protection locked="0"/>
    </xf>
    <xf numFmtId="0" fontId="11" fillId="33" borderId="29" xfId="1" applyNumberFormat="1" applyFont="1" applyFill="1" applyBorder="1" applyAlignment="1">
      <alignment horizontal="center" vertical="center" wrapText="1"/>
    </xf>
    <xf numFmtId="10" fontId="11" fillId="0" borderId="28" xfId="1" applyNumberFormat="1" applyFont="1" applyFill="1" applyBorder="1" applyAlignment="1">
      <alignment horizontal="center" vertical="center" wrapText="1"/>
    </xf>
    <xf numFmtId="0" fontId="11" fillId="0" borderId="11" xfId="1" applyNumberFormat="1" applyFont="1" applyFill="1" applyBorder="1" applyAlignment="1" applyProtection="1">
      <alignment horizontal="center" vertical="center" wrapText="1"/>
      <protection locked="0"/>
    </xf>
    <xf numFmtId="43" fontId="11" fillId="0" borderId="31" xfId="1" applyNumberFormat="1" applyFont="1" applyFill="1" applyBorder="1" applyAlignment="1" applyProtection="1">
      <alignment horizontal="center" vertical="center" wrapText="1"/>
      <protection locked="0"/>
    </xf>
    <xf numFmtId="43" fontId="11" fillId="7" borderId="68" xfId="1" applyNumberFormat="1" applyFont="1" applyFill="1" applyBorder="1" applyAlignment="1" applyProtection="1">
      <alignment horizontal="right" vertical="center" wrapText="1"/>
    </xf>
    <xf numFmtId="0" fontId="5" fillId="7" borderId="52" xfId="1" applyNumberFormat="1" applyFont="1" applyFill="1" applyBorder="1" applyAlignment="1" applyProtection="1">
      <alignment horizontal="center" vertical="center" wrapText="1"/>
    </xf>
    <xf numFmtId="0" fontId="0" fillId="0" borderId="0" xfId="0" applyAlignment="1">
      <alignment horizontal="center" vertical="center" wrapText="1"/>
    </xf>
    <xf numFmtId="0" fontId="3" fillId="7" borderId="41" xfId="1" applyNumberFormat="1" applyFont="1" applyFill="1" applyBorder="1" applyAlignment="1" applyProtection="1">
      <alignment horizontal="center" vertical="center" wrapText="1"/>
    </xf>
    <xf numFmtId="166" fontId="11" fillId="19" borderId="2" xfId="1" applyNumberFormat="1" applyFont="1" applyFill="1" applyBorder="1" applyAlignment="1" applyProtection="1">
      <alignment horizontal="center" vertical="center" wrapText="1"/>
    </xf>
    <xf numFmtId="168" fontId="4" fillId="22" borderId="1" xfId="1" applyNumberFormat="1" applyFont="1" applyFill="1" applyBorder="1" applyAlignment="1" applyProtection="1">
      <alignment horizontal="center" vertical="center" wrapText="1"/>
    </xf>
    <xf numFmtId="0" fontId="4" fillId="0" borderId="49" xfId="1" applyNumberFormat="1" applyFont="1" applyFill="1" applyBorder="1" applyAlignment="1">
      <alignment horizontal="center" vertical="center" wrapText="1"/>
    </xf>
    <xf numFmtId="0" fontId="11" fillId="18" borderId="2" xfId="1" applyNumberFormat="1" applyFont="1" applyFill="1" applyBorder="1" applyAlignment="1" applyProtection="1">
      <alignment horizontal="center" vertical="center" wrapText="1"/>
      <protection locked="0"/>
    </xf>
    <xf numFmtId="0" fontId="11" fillId="18" borderId="20" xfId="1" applyNumberFormat="1" applyFont="1" applyFill="1" applyBorder="1" applyAlignment="1" applyProtection="1">
      <alignment horizontal="center" vertical="center" wrapText="1"/>
      <protection locked="0"/>
    </xf>
    <xf numFmtId="0" fontId="11" fillId="18" borderId="1" xfId="1" applyNumberFormat="1" applyFont="1" applyFill="1" applyBorder="1" applyAlignment="1" applyProtection="1">
      <alignment horizontal="center" vertical="center" wrapText="1"/>
      <protection locked="0"/>
    </xf>
    <xf numFmtId="0" fontId="11" fillId="19" borderId="1" xfId="1" applyNumberFormat="1" applyFont="1" applyFill="1" applyBorder="1" applyAlignment="1" applyProtection="1">
      <alignment horizontal="center" vertical="center" wrapText="1"/>
      <protection locked="0"/>
    </xf>
    <xf numFmtId="0" fontId="11" fillId="33" borderId="3" xfId="1" applyNumberFormat="1" applyFont="1" applyFill="1" applyBorder="1" applyAlignment="1">
      <alignment horizontal="center" vertical="center" wrapText="1"/>
    </xf>
    <xf numFmtId="10" fontId="11" fillId="0" borderId="2" xfId="1" applyNumberFormat="1" applyFont="1" applyFill="1" applyBorder="1" applyAlignment="1">
      <alignment horizontal="center" vertical="center" wrapText="1"/>
    </xf>
    <xf numFmtId="0" fontId="11" fillId="0" borderId="1" xfId="1" applyNumberFormat="1" applyFont="1" applyFill="1" applyBorder="1" applyAlignment="1" applyProtection="1">
      <alignment horizontal="center" vertical="center" wrapText="1"/>
      <protection locked="0"/>
    </xf>
    <xf numFmtId="43" fontId="11" fillId="0" borderId="18" xfId="1" applyNumberFormat="1" applyFont="1" applyFill="1" applyBorder="1" applyAlignment="1" applyProtection="1">
      <alignment horizontal="center" vertical="center" wrapText="1"/>
      <protection locked="0"/>
    </xf>
    <xf numFmtId="43" fontId="11" fillId="7" borderId="62" xfId="1" applyNumberFormat="1" applyFont="1" applyFill="1" applyBorder="1" applyAlignment="1" applyProtection="1">
      <alignment horizontal="right" vertical="center" wrapText="1"/>
    </xf>
    <xf numFmtId="0" fontId="5" fillId="7" borderId="49" xfId="1" applyNumberFormat="1" applyFont="1" applyFill="1" applyBorder="1" applyAlignment="1" applyProtection="1">
      <alignment horizontal="center" vertical="center" wrapText="1"/>
    </xf>
    <xf numFmtId="0" fontId="5" fillId="32" borderId="1" xfId="0" applyFont="1" applyFill="1" applyBorder="1" applyAlignment="1" applyProtection="1">
      <alignment horizontal="center" vertical="center" wrapText="1"/>
    </xf>
    <xf numFmtId="0" fontId="3" fillId="7" borderId="7" xfId="1" applyNumberFormat="1" applyFont="1" applyFill="1" applyBorder="1" applyAlignment="1" applyProtection="1">
      <alignment horizontal="center" vertical="center" wrapText="1"/>
    </xf>
    <xf numFmtId="0" fontId="3" fillId="7" borderId="7" xfId="1" applyNumberFormat="1" applyFont="1" applyFill="1" applyBorder="1" applyAlignment="1">
      <alignment horizontal="center" vertical="center" wrapText="1"/>
    </xf>
    <xf numFmtId="0" fontId="3" fillId="7" borderId="8" xfId="1" applyNumberFormat="1" applyFont="1" applyFill="1" applyBorder="1" applyAlignment="1" applyProtection="1">
      <alignment horizontal="center" vertical="center" wrapText="1"/>
    </xf>
    <xf numFmtId="0" fontId="5" fillId="7" borderId="9" xfId="0" applyFont="1" applyFill="1" applyBorder="1" applyAlignment="1" applyProtection="1">
      <alignment horizontal="center" vertical="center" wrapText="1"/>
    </xf>
    <xf numFmtId="4" fontId="3" fillId="7" borderId="7" xfId="1" applyNumberFormat="1" applyFont="1" applyFill="1" applyBorder="1" applyAlignment="1" applyProtection="1">
      <alignment horizontal="center" vertical="center" wrapText="1"/>
    </xf>
    <xf numFmtId="43" fontId="2" fillId="34" borderId="7" xfId="1" applyNumberFormat="1" applyFont="1" applyFill="1" applyBorder="1" applyAlignment="1" applyProtection="1">
      <alignment horizontal="center" vertical="center" wrapText="1"/>
    </xf>
    <xf numFmtId="0" fontId="3" fillId="7" borderId="69" xfId="1" applyNumberFormat="1" applyFont="1" applyFill="1" applyBorder="1" applyAlignment="1" applyProtection="1">
      <alignment horizontal="center" vertical="center" wrapText="1"/>
    </xf>
    <xf numFmtId="166" fontId="11" fillId="19" borderId="40" xfId="1" applyNumberFormat="1" applyFont="1" applyFill="1" applyBorder="1" applyAlignment="1" applyProtection="1">
      <alignment horizontal="center" vertical="center" wrapText="1"/>
    </xf>
    <xf numFmtId="166" fontId="4" fillId="7" borderId="21" xfId="1" applyNumberFormat="1" applyFont="1" applyFill="1" applyBorder="1" applyAlignment="1" applyProtection="1">
      <alignment horizontal="center" vertical="center" wrapText="1"/>
    </xf>
    <xf numFmtId="168" fontId="4" fillId="7" borderId="21" xfId="1" applyNumberFormat="1" applyFont="1" applyFill="1" applyBorder="1" applyAlignment="1" applyProtection="1">
      <alignment horizontal="center" vertical="center" wrapText="1"/>
    </xf>
    <xf numFmtId="0" fontId="4" fillId="7" borderId="21" xfId="1" applyNumberFormat="1" applyFont="1" applyFill="1" applyBorder="1" applyAlignment="1" applyProtection="1">
      <alignment horizontal="center" vertical="center" wrapText="1"/>
    </xf>
    <xf numFmtId="166" fontId="3" fillId="7" borderId="71" xfId="1" applyNumberFormat="1" applyFont="1" applyFill="1" applyBorder="1" applyAlignment="1" applyProtection="1">
      <alignment horizontal="left" vertical="center" wrapText="1"/>
    </xf>
    <xf numFmtId="166" fontId="4" fillId="0" borderId="63" xfId="1" applyNumberFormat="1" applyFont="1" applyFill="1" applyBorder="1" applyAlignment="1" applyProtection="1">
      <alignment horizontal="center" vertical="center" wrapText="1"/>
    </xf>
    <xf numFmtId="0" fontId="11" fillId="33" borderId="9" xfId="1" applyNumberFormat="1" applyFont="1" applyFill="1" applyBorder="1" applyAlignment="1" applyProtection="1">
      <alignment horizontal="center" vertical="center" wrapText="1"/>
      <protection locked="0"/>
    </xf>
    <xf numFmtId="0" fontId="11" fillId="33" borderId="66" xfId="1" applyNumberFormat="1" applyFont="1" applyFill="1" applyBorder="1" applyAlignment="1" applyProtection="1">
      <alignment horizontal="center" vertical="center" wrapText="1"/>
      <protection locked="0"/>
    </xf>
    <xf numFmtId="0" fontId="11" fillId="33" borderId="7" xfId="1" applyNumberFormat="1" applyFont="1" applyFill="1" applyBorder="1" applyAlignment="1" applyProtection="1">
      <alignment horizontal="center" vertical="center" wrapText="1"/>
      <protection locked="0"/>
    </xf>
    <xf numFmtId="0" fontId="11" fillId="31" borderId="7" xfId="1" applyNumberFormat="1" applyFont="1" applyFill="1" applyBorder="1" applyAlignment="1" applyProtection="1">
      <alignment horizontal="center" vertical="center" wrapText="1"/>
      <protection locked="0"/>
    </xf>
    <xf numFmtId="0" fontId="11" fillId="33" borderId="8" xfId="1" applyNumberFormat="1" applyFont="1" applyFill="1" applyBorder="1" applyAlignment="1">
      <alignment horizontal="center" vertical="center" wrapText="1"/>
    </xf>
    <xf numFmtId="0" fontId="11" fillId="3" borderId="9" xfId="1" applyNumberFormat="1" applyFont="1" applyFill="1" applyBorder="1" applyAlignment="1">
      <alignment horizontal="center" vertical="center" wrapText="1"/>
    </xf>
    <xf numFmtId="0" fontId="11" fillId="3" borderId="7" xfId="1" applyNumberFormat="1" applyFont="1" applyFill="1" applyBorder="1" applyAlignment="1" applyProtection="1">
      <alignment horizontal="center" vertical="center" wrapText="1"/>
      <protection locked="0"/>
    </xf>
    <xf numFmtId="43" fontId="11" fillId="3" borderId="33" xfId="1" applyNumberFormat="1" applyFont="1" applyFill="1" applyBorder="1" applyAlignment="1" applyProtection="1">
      <alignment horizontal="center" vertical="center" wrapText="1"/>
      <protection locked="0"/>
    </xf>
    <xf numFmtId="43" fontId="11" fillId="7" borderId="58" xfId="1" applyNumberFormat="1" applyFont="1" applyFill="1" applyBorder="1" applyAlignment="1" applyProtection="1">
      <alignment horizontal="right" vertical="center" wrapText="1"/>
    </xf>
    <xf numFmtId="0" fontId="5" fillId="7" borderId="59" xfId="1" applyNumberFormat="1" applyFont="1" applyFill="1" applyBorder="1" applyAlignment="1" applyProtection="1">
      <alignment horizontal="center" vertical="center" wrapText="1"/>
    </xf>
    <xf numFmtId="0" fontId="3" fillId="7" borderId="5" xfId="1" applyNumberFormat="1" applyFont="1" applyFill="1" applyBorder="1" applyAlignment="1" applyProtection="1">
      <alignment horizontal="center" vertical="center" wrapText="1"/>
    </xf>
    <xf numFmtId="166" fontId="11" fillId="19" borderId="4" xfId="1" applyNumberFormat="1" applyFont="1" applyFill="1" applyBorder="1" applyAlignment="1" applyProtection="1">
      <alignment horizontal="center" vertical="center" wrapText="1"/>
    </xf>
    <xf numFmtId="168" fontId="4" fillId="22" borderId="5" xfId="1" applyNumberFormat="1" applyFont="1" applyFill="1" applyBorder="1" applyAlignment="1" applyProtection="1">
      <alignment horizontal="center" vertical="center" wrapText="1"/>
    </xf>
    <xf numFmtId="0" fontId="4" fillId="0" borderId="48" xfId="1" applyNumberFormat="1" applyFont="1" applyFill="1" applyBorder="1" applyAlignment="1">
      <alignment horizontal="center" vertical="center" wrapText="1"/>
    </xf>
    <xf numFmtId="0" fontId="11" fillId="18" borderId="4" xfId="1" applyNumberFormat="1" applyFont="1" applyFill="1" applyBorder="1" applyAlignment="1" applyProtection="1">
      <alignment horizontal="center" vertical="center" wrapText="1"/>
      <protection locked="0"/>
    </xf>
    <xf numFmtId="0" fontId="11" fillId="18" borderId="64" xfId="1" applyNumberFormat="1" applyFont="1" applyFill="1" applyBorder="1" applyAlignment="1" applyProtection="1">
      <alignment horizontal="center" vertical="center" wrapText="1"/>
      <protection locked="0"/>
    </xf>
    <xf numFmtId="0" fontId="11" fillId="18" borderId="5" xfId="1" applyNumberFormat="1" applyFont="1" applyFill="1" applyBorder="1" applyAlignment="1" applyProtection="1">
      <alignment horizontal="center" vertical="center" wrapText="1"/>
      <protection locked="0"/>
    </xf>
    <xf numFmtId="0" fontId="11" fillId="31" borderId="5" xfId="1" applyNumberFormat="1" applyFont="1" applyFill="1" applyBorder="1" applyAlignment="1" applyProtection="1">
      <alignment horizontal="center" vertical="center" wrapText="1"/>
      <protection locked="0"/>
    </xf>
    <xf numFmtId="0" fontId="11" fillId="19" borderId="5" xfId="1" applyNumberFormat="1" applyFont="1" applyFill="1" applyBorder="1" applyAlignment="1" applyProtection="1">
      <alignment horizontal="center" vertical="center" wrapText="1"/>
      <protection locked="0"/>
    </xf>
    <xf numFmtId="0" fontId="11" fillId="0" borderId="4" xfId="1" applyNumberFormat="1" applyFont="1" applyFill="1" applyBorder="1" applyAlignment="1">
      <alignment horizontal="center" vertical="center" wrapText="1"/>
    </xf>
    <xf numFmtId="0" fontId="11" fillId="0" borderId="5" xfId="1" applyNumberFormat="1" applyFont="1" applyFill="1" applyBorder="1" applyAlignment="1" applyProtection="1">
      <alignment horizontal="center" vertical="center" wrapText="1"/>
      <protection locked="0"/>
    </xf>
    <xf numFmtId="43" fontId="11" fillId="0" borderId="65" xfId="1" applyNumberFormat="1" applyFont="1" applyFill="1" applyBorder="1" applyAlignment="1" applyProtection="1">
      <alignment horizontal="center" vertical="center" wrapText="1"/>
      <protection locked="0"/>
    </xf>
    <xf numFmtId="43" fontId="11" fillId="7" borderId="55" xfId="1" applyNumberFormat="1" applyFont="1" applyFill="1" applyBorder="1" applyAlignment="1" applyProtection="1">
      <alignment horizontal="right" vertical="center" wrapText="1"/>
    </xf>
    <xf numFmtId="0" fontId="5" fillId="7" borderId="48" xfId="1" applyNumberFormat="1" applyFont="1" applyFill="1" applyBorder="1" applyAlignment="1" applyProtection="1">
      <alignment horizontal="center" vertical="center" wrapText="1"/>
    </xf>
    <xf numFmtId="43" fontId="2" fillId="22" borderId="10" xfId="1" applyNumberFormat="1" applyFont="1" applyFill="1" applyBorder="1" applyAlignment="1" applyProtection="1">
      <alignment horizontal="center" vertical="center" wrapText="1"/>
    </xf>
    <xf numFmtId="0" fontId="4" fillId="0" borderId="50" xfId="1" applyNumberFormat="1" applyFont="1" applyFill="1" applyBorder="1" applyAlignment="1">
      <alignment horizontal="center" vertical="center" wrapText="1"/>
    </xf>
    <xf numFmtId="0" fontId="11" fillId="2" borderId="1" xfId="1" applyNumberFormat="1" applyFont="1" applyFill="1" applyBorder="1" applyAlignment="1" applyProtection="1">
      <alignment horizontal="center" vertical="center" wrapText="1"/>
      <protection locked="0"/>
    </xf>
    <xf numFmtId="0" fontId="11" fillId="0" borderId="10" xfId="1" applyNumberFormat="1" applyFont="1" applyFill="1" applyBorder="1" applyAlignment="1" applyProtection="1">
      <alignment horizontal="center" vertical="center" wrapText="1"/>
      <protection locked="0"/>
    </xf>
    <xf numFmtId="43" fontId="2" fillId="22" borderId="21" xfId="1" applyNumberFormat="1" applyFont="1" applyFill="1" applyBorder="1" applyAlignment="1" applyProtection="1">
      <alignment horizontal="center" vertical="center" wrapText="1"/>
    </xf>
    <xf numFmtId="0" fontId="11" fillId="18" borderId="46" xfId="1" applyNumberFormat="1" applyFont="1" applyFill="1" applyBorder="1" applyAlignment="1" applyProtection="1">
      <alignment horizontal="center" vertical="center" wrapText="1"/>
      <protection locked="0"/>
    </xf>
    <xf numFmtId="0" fontId="11" fillId="18" borderId="10" xfId="1" applyNumberFormat="1" applyFont="1" applyFill="1" applyBorder="1" applyAlignment="1" applyProtection="1">
      <alignment horizontal="center" vertical="center" wrapText="1"/>
      <protection locked="0"/>
    </xf>
    <xf numFmtId="0" fontId="11" fillId="2" borderId="10" xfId="1" applyNumberFormat="1" applyFont="1" applyFill="1" applyBorder="1" applyAlignment="1" applyProtection="1">
      <alignment horizontal="center" vertical="center" wrapText="1"/>
      <protection locked="0"/>
    </xf>
    <xf numFmtId="0" fontId="3" fillId="7" borderId="1" xfId="1" applyNumberFormat="1" applyFont="1" applyFill="1" applyBorder="1" applyAlignment="1" applyProtection="1">
      <alignment horizontal="center" vertical="center" wrapText="1"/>
    </xf>
    <xf numFmtId="166" fontId="11" fillId="25" borderId="28" xfId="1" applyNumberFormat="1" applyFont="1" applyFill="1" applyBorder="1" applyAlignment="1" applyProtection="1">
      <alignment horizontal="center" vertical="center" wrapText="1"/>
    </xf>
    <xf numFmtId="166" fontId="11" fillId="22" borderId="11" xfId="1" applyNumberFormat="1" applyFont="1" applyFill="1" applyBorder="1" applyAlignment="1" applyProtection="1">
      <alignment horizontal="center" vertical="center" wrapText="1"/>
    </xf>
    <xf numFmtId="0" fontId="5" fillId="22" borderId="11" xfId="0" applyNumberFormat="1" applyFont="1" applyFill="1" applyBorder="1" applyAlignment="1" applyProtection="1">
      <alignment horizontal="center" vertical="center" wrapText="1"/>
    </xf>
    <xf numFmtId="0" fontId="5" fillId="2" borderId="11" xfId="0" applyNumberFormat="1" applyFont="1" applyFill="1" applyBorder="1" applyAlignment="1" applyProtection="1">
      <alignment horizontal="center" vertical="center" wrapText="1"/>
    </xf>
    <xf numFmtId="0" fontId="3" fillId="22" borderId="29" xfId="1" applyNumberFormat="1" applyFont="1" applyFill="1" applyBorder="1" applyAlignment="1">
      <alignment horizontal="left" vertical="center" wrapText="1"/>
    </xf>
    <xf numFmtId="0" fontId="4" fillId="0" borderId="52" xfId="1" applyNumberFormat="1" applyFont="1" applyFill="1" applyBorder="1" applyAlignment="1">
      <alignment horizontal="center" vertical="center" wrapText="1"/>
    </xf>
    <xf numFmtId="0" fontId="11" fillId="25" borderId="1" xfId="1" applyNumberFormat="1" applyFont="1" applyFill="1" applyBorder="1" applyAlignment="1" applyProtection="1">
      <alignment horizontal="center" vertical="center" wrapText="1"/>
      <protection locked="0"/>
    </xf>
    <xf numFmtId="0" fontId="11" fillId="18" borderId="18" xfId="1" applyNumberFormat="1" applyFont="1" applyFill="1" applyBorder="1" applyAlignment="1" applyProtection="1">
      <alignment horizontal="center" vertical="center" wrapText="1"/>
      <protection locked="0"/>
    </xf>
    <xf numFmtId="0" fontId="11" fillId="0" borderId="2" xfId="1" applyNumberFormat="1" applyFont="1" applyFill="1" applyBorder="1" applyAlignment="1">
      <alignment horizontal="center" vertical="center" wrapText="1"/>
    </xf>
    <xf numFmtId="43" fontId="2" fillId="34" borderId="1" xfId="1" applyNumberFormat="1" applyFont="1" applyFill="1" applyBorder="1" applyAlignment="1" applyProtection="1">
      <alignment horizontal="center" vertical="center" wrapText="1"/>
    </xf>
    <xf numFmtId="166" fontId="11" fillId="25" borderId="2" xfId="1" applyNumberFormat="1" applyFont="1" applyFill="1" applyBorder="1" applyAlignment="1" applyProtection="1">
      <alignment horizontal="center" vertical="center" wrapText="1"/>
    </xf>
    <xf numFmtId="0" fontId="11" fillId="31" borderId="18" xfId="1" applyNumberFormat="1" applyFont="1" applyFill="1" applyBorder="1" applyAlignment="1" applyProtection="1">
      <alignment horizontal="center" vertical="center" wrapText="1"/>
      <protection locked="0"/>
    </xf>
    <xf numFmtId="166" fontId="11" fillId="25" borderId="9" xfId="1" applyNumberFormat="1" applyFont="1" applyFill="1" applyBorder="1" applyAlignment="1" applyProtection="1">
      <alignment horizontal="center" vertical="center" wrapText="1"/>
    </xf>
    <xf numFmtId="166" fontId="11" fillId="22" borderId="7" xfId="1" applyNumberFormat="1" applyFont="1" applyFill="1" applyBorder="1" applyAlignment="1" applyProtection="1">
      <alignment horizontal="center" vertical="center" wrapText="1"/>
    </xf>
    <xf numFmtId="168" fontId="4" fillId="22" borderId="7" xfId="1" applyNumberFormat="1" applyFont="1" applyFill="1" applyBorder="1" applyAlignment="1" applyProtection="1">
      <alignment horizontal="center" vertical="center" wrapText="1"/>
    </xf>
    <xf numFmtId="0" fontId="5" fillId="2" borderId="7" xfId="0" applyNumberFormat="1" applyFont="1" applyFill="1" applyBorder="1" applyAlignment="1" applyProtection="1">
      <alignment horizontal="center" vertical="center" wrapText="1"/>
    </xf>
    <xf numFmtId="0" fontId="4" fillId="0" borderId="59" xfId="1" applyNumberFormat="1" applyFont="1" applyFill="1" applyBorder="1" applyAlignment="1">
      <alignment horizontal="center" vertical="center" wrapText="1"/>
    </xf>
    <xf numFmtId="0" fontId="11" fillId="18" borderId="66" xfId="1" applyNumberFormat="1" applyFont="1" applyFill="1" applyBorder="1" applyAlignment="1" applyProtection="1">
      <alignment horizontal="center" vertical="center" wrapText="1"/>
      <protection locked="0"/>
    </xf>
    <xf numFmtId="0" fontId="11" fillId="18" borderId="7" xfId="1" applyNumberFormat="1" applyFont="1" applyFill="1" applyBorder="1" applyAlignment="1" applyProtection="1">
      <alignment horizontal="center" vertical="center" wrapText="1"/>
      <protection locked="0"/>
    </xf>
    <xf numFmtId="0" fontId="11" fillId="25" borderId="7" xfId="1" applyNumberFormat="1" applyFont="1" applyFill="1" applyBorder="1" applyAlignment="1" applyProtection="1">
      <alignment horizontal="center" vertical="center" wrapText="1"/>
      <protection locked="0"/>
    </xf>
    <xf numFmtId="0" fontId="11" fillId="18" borderId="33" xfId="1" applyNumberFormat="1" applyFont="1" applyFill="1" applyBorder="1" applyAlignment="1" applyProtection="1">
      <alignment horizontal="center" vertical="center" wrapText="1"/>
      <protection locked="0"/>
    </xf>
    <xf numFmtId="0" fontId="11" fillId="2" borderId="7" xfId="1" applyNumberFormat="1" applyFont="1" applyFill="1" applyBorder="1" applyAlignment="1" applyProtection="1">
      <alignment horizontal="center" vertical="center" wrapText="1"/>
      <protection locked="0"/>
    </xf>
    <xf numFmtId="0" fontId="11" fillId="0" borderId="37" xfId="1" applyNumberFormat="1" applyFont="1" applyFill="1" applyBorder="1" applyAlignment="1">
      <alignment horizontal="center" vertical="center" wrapText="1"/>
    </xf>
    <xf numFmtId="0" fontId="11" fillId="0" borderId="32" xfId="1" applyNumberFormat="1" applyFont="1" applyFill="1" applyBorder="1" applyAlignment="1" applyProtection="1">
      <alignment horizontal="center" vertical="center" wrapText="1"/>
      <protection locked="0"/>
    </xf>
    <xf numFmtId="43" fontId="11" fillId="0" borderId="70" xfId="1" applyNumberFormat="1" applyFont="1" applyFill="1" applyBorder="1" applyAlignment="1" applyProtection="1">
      <alignment horizontal="center" vertical="center" wrapText="1"/>
      <protection locked="0"/>
    </xf>
    <xf numFmtId="0" fontId="3" fillId="10" borderId="11" xfId="1" applyNumberFormat="1" applyFont="1" applyFill="1" applyBorder="1" applyAlignment="1" applyProtection="1">
      <alignment horizontal="center" vertical="center" wrapText="1"/>
    </xf>
    <xf numFmtId="0" fontId="3" fillId="10" borderId="29" xfId="1" applyNumberFormat="1" applyFont="1" applyFill="1" applyBorder="1" applyAlignment="1" applyProtection="1">
      <alignment horizontal="center" vertical="center" wrapText="1"/>
    </xf>
    <xf numFmtId="0" fontId="5" fillId="10" borderId="28" xfId="0" applyFont="1" applyFill="1" applyBorder="1" applyAlignment="1" applyProtection="1">
      <alignment horizontal="center" vertical="center" wrapText="1"/>
    </xf>
    <xf numFmtId="0" fontId="5" fillId="10" borderId="11" xfId="0" applyFont="1" applyFill="1" applyBorder="1" applyAlignment="1" applyProtection="1">
      <alignment horizontal="center" vertical="center" wrapText="1"/>
    </xf>
    <xf numFmtId="43" fontId="2" fillId="34" borderId="11" xfId="1" applyNumberFormat="1" applyFont="1" applyFill="1" applyBorder="1" applyAlignment="1" applyProtection="1">
      <alignment horizontal="center" vertical="center" wrapText="1"/>
    </xf>
    <xf numFmtId="0" fontId="3" fillId="10" borderId="73" xfId="1" applyNumberFormat="1" applyFont="1" applyFill="1" applyBorder="1" applyAlignment="1" applyProtection="1">
      <alignment horizontal="center" vertical="center" wrapText="1"/>
    </xf>
    <xf numFmtId="43" fontId="11" fillId="10" borderId="4" xfId="1" applyNumberFormat="1" applyFont="1" applyFill="1" applyBorder="1" applyAlignment="1" applyProtection="1">
      <alignment horizontal="center" vertical="center" wrapText="1"/>
    </xf>
    <xf numFmtId="43" fontId="11" fillId="10" borderId="5" xfId="1" applyNumberFormat="1" applyFont="1" applyFill="1" applyBorder="1" applyAlignment="1" applyProtection="1">
      <alignment horizontal="center" vertical="center" wrapText="1"/>
    </xf>
    <xf numFmtId="168" fontId="4" fillId="10" borderId="5" xfId="1" applyNumberFormat="1" applyFont="1" applyFill="1" applyBorder="1" applyAlignment="1" applyProtection="1">
      <alignment horizontal="center" vertical="center" wrapText="1"/>
    </xf>
    <xf numFmtId="0" fontId="11" fillId="12" borderId="28" xfId="1" applyNumberFormat="1" applyFont="1" applyFill="1" applyBorder="1" applyAlignment="1" applyProtection="1">
      <alignment horizontal="center" vertical="center" wrapText="1"/>
      <protection locked="0"/>
    </xf>
    <xf numFmtId="0" fontId="11" fillId="12" borderId="44" xfId="1" applyNumberFormat="1" applyFont="1" applyFill="1" applyBorder="1" applyAlignment="1" applyProtection="1">
      <alignment horizontal="center" vertical="center" wrapText="1"/>
      <protection locked="0"/>
    </xf>
    <xf numFmtId="0" fontId="11" fillId="12" borderId="11" xfId="1" applyNumberFormat="1" applyFont="1" applyFill="1" applyBorder="1" applyAlignment="1" applyProtection="1">
      <alignment horizontal="center" vertical="center" wrapText="1"/>
      <protection locked="0"/>
    </xf>
    <xf numFmtId="0" fontId="11" fillId="0" borderId="28" xfId="1" applyNumberFormat="1" applyFont="1" applyFill="1" applyBorder="1" applyAlignment="1">
      <alignment horizontal="center" vertical="center" wrapText="1"/>
    </xf>
    <xf numFmtId="43" fontId="11" fillId="10" borderId="68" xfId="1" applyNumberFormat="1" applyFont="1" applyFill="1" applyBorder="1" applyAlignment="1" applyProtection="1">
      <alignment horizontal="right" vertical="center" wrapText="1"/>
    </xf>
    <xf numFmtId="0" fontId="5" fillId="10" borderId="52" xfId="1" applyNumberFormat="1" applyFont="1" applyFill="1" applyBorder="1" applyAlignment="1" applyProtection="1">
      <alignment horizontal="center" vertical="center" wrapText="1"/>
    </xf>
    <xf numFmtId="0" fontId="3" fillId="10" borderId="41" xfId="1" applyNumberFormat="1" applyFont="1" applyFill="1" applyBorder="1" applyAlignment="1" applyProtection="1">
      <alignment horizontal="center" vertical="center" wrapText="1"/>
    </xf>
    <xf numFmtId="166" fontId="11" fillId="10" borderId="11" xfId="1" applyNumberFormat="1" applyFont="1" applyFill="1" applyBorder="1" applyAlignment="1" applyProtection="1">
      <alignment horizontal="center" vertical="center" wrapText="1"/>
    </xf>
    <xf numFmtId="168" fontId="4" fillId="10" borderId="11" xfId="1" applyNumberFormat="1" applyFont="1" applyFill="1" applyBorder="1" applyAlignment="1" applyProtection="1">
      <alignment horizontal="center" vertical="center" wrapText="1"/>
    </xf>
    <xf numFmtId="43" fontId="4" fillId="10" borderId="11" xfId="1" applyNumberFormat="1" applyFont="1" applyFill="1" applyBorder="1" applyAlignment="1" applyProtection="1">
      <alignment horizontal="center" vertical="center" wrapText="1"/>
    </xf>
    <xf numFmtId="0" fontId="5" fillId="10" borderId="11" xfId="0" applyNumberFormat="1" applyFont="1" applyFill="1" applyBorder="1" applyAlignment="1" applyProtection="1">
      <alignment horizontal="center" vertical="center" wrapText="1"/>
    </xf>
    <xf numFmtId="0" fontId="3" fillId="10" borderId="29" xfId="1" applyNumberFormat="1" applyFont="1" applyFill="1" applyBorder="1" applyAlignment="1">
      <alignment horizontal="left" vertical="center" wrapText="1"/>
    </xf>
    <xf numFmtId="0" fontId="11" fillId="31" borderId="29" xfId="1" applyNumberFormat="1" applyFont="1" applyFill="1" applyBorder="1" applyAlignment="1" applyProtection="1">
      <alignment horizontal="center" vertical="center" wrapText="1"/>
      <protection locked="0"/>
    </xf>
    <xf numFmtId="168" fontId="4" fillId="10" borderId="1" xfId="1" applyNumberFormat="1" applyFont="1" applyFill="1" applyBorder="1" applyAlignment="1" applyProtection="1">
      <alignment horizontal="center" vertical="center" wrapText="1"/>
    </xf>
    <xf numFmtId="0" fontId="11" fillId="12" borderId="2" xfId="1" applyNumberFormat="1" applyFont="1" applyFill="1" applyBorder="1" applyAlignment="1" applyProtection="1">
      <alignment horizontal="center" vertical="center" wrapText="1"/>
      <protection locked="0"/>
    </xf>
    <xf numFmtId="0" fontId="11" fillId="12" borderId="20" xfId="1" applyNumberFormat="1" applyFont="1" applyFill="1" applyBorder="1" applyAlignment="1" applyProtection="1">
      <alignment horizontal="center" vertical="center" wrapText="1"/>
      <protection locked="0"/>
    </xf>
    <xf numFmtId="0" fontId="11" fillId="12" borderId="1" xfId="1" applyNumberFormat="1" applyFont="1" applyFill="1" applyBorder="1" applyAlignment="1" applyProtection="1">
      <alignment horizontal="center" vertical="center" wrapText="1"/>
      <protection locked="0"/>
    </xf>
    <xf numFmtId="0" fontId="11" fillId="31" borderId="3" xfId="1" applyNumberFormat="1" applyFont="1" applyFill="1" applyBorder="1" applyAlignment="1" applyProtection="1">
      <alignment horizontal="center" vertical="center" wrapText="1"/>
      <protection locked="0"/>
    </xf>
    <xf numFmtId="43" fontId="11" fillId="10" borderId="62" xfId="1" applyNumberFormat="1" applyFont="1" applyFill="1" applyBorder="1" applyAlignment="1" applyProtection="1">
      <alignment horizontal="right" vertical="center" wrapText="1"/>
    </xf>
    <xf numFmtId="0" fontId="5" fillId="10" borderId="49" xfId="1" applyNumberFormat="1" applyFont="1" applyFill="1" applyBorder="1" applyAlignment="1" applyProtection="1">
      <alignment horizontal="center" vertical="center" wrapText="1"/>
    </xf>
    <xf numFmtId="0" fontId="3" fillId="10" borderId="69" xfId="1" applyNumberFormat="1" applyFont="1" applyFill="1" applyBorder="1" applyAlignment="1" applyProtection="1">
      <alignment horizontal="center" vertical="center" wrapText="1"/>
    </xf>
    <xf numFmtId="166" fontId="11" fillId="19" borderId="9" xfId="1" applyNumberFormat="1" applyFont="1" applyFill="1" applyBorder="1" applyAlignment="1" applyProtection="1">
      <alignment horizontal="center" vertical="center" wrapText="1"/>
    </xf>
    <xf numFmtId="168" fontId="4" fillId="10" borderId="7" xfId="1" applyNumberFormat="1" applyFont="1" applyFill="1" applyBorder="1" applyAlignment="1" applyProtection="1">
      <alignment horizontal="center" vertical="center" wrapText="1"/>
    </xf>
    <xf numFmtId="0" fontId="4" fillId="2" borderId="7" xfId="1" applyNumberFormat="1" applyFont="1" applyFill="1" applyBorder="1" applyAlignment="1">
      <alignment horizontal="center" vertical="center" wrapText="1"/>
    </xf>
    <xf numFmtId="0" fontId="4" fillId="12" borderId="9" xfId="1" applyNumberFormat="1" applyFont="1" applyFill="1" applyBorder="1" applyAlignment="1" applyProtection="1">
      <alignment horizontal="center" vertical="center" wrapText="1"/>
      <protection locked="0"/>
    </xf>
    <xf numFmtId="0" fontId="11" fillId="12" borderId="66" xfId="1" applyNumberFormat="1" applyFont="1" applyFill="1" applyBorder="1" applyAlignment="1" applyProtection="1">
      <alignment horizontal="center" vertical="center" wrapText="1"/>
      <protection locked="0"/>
    </xf>
    <xf numFmtId="0" fontId="11" fillId="12" borderId="7" xfId="1" applyNumberFormat="1" applyFont="1" applyFill="1" applyBorder="1" applyAlignment="1" applyProtection="1">
      <alignment horizontal="center" vertical="center" wrapText="1"/>
      <protection locked="0"/>
    </xf>
    <xf numFmtId="0" fontId="11" fillId="0" borderId="9" xfId="1" applyNumberFormat="1" applyFont="1" applyFill="1" applyBorder="1" applyAlignment="1">
      <alignment horizontal="center" vertical="center" wrapText="1"/>
    </xf>
    <xf numFmtId="0" fontId="11" fillId="0" borderId="7" xfId="1" applyNumberFormat="1" applyFont="1" applyFill="1" applyBorder="1" applyAlignment="1" applyProtection="1">
      <alignment horizontal="center" vertical="center" wrapText="1"/>
      <protection locked="0"/>
    </xf>
    <xf numFmtId="43" fontId="11" fillId="0" borderId="33" xfId="1" applyNumberFormat="1" applyFont="1" applyFill="1" applyBorder="1" applyAlignment="1" applyProtection="1">
      <alignment horizontal="center" vertical="center" wrapText="1"/>
      <protection locked="0"/>
    </xf>
    <xf numFmtId="43" fontId="2" fillId="34" borderId="5" xfId="1" applyNumberFormat="1" applyFont="1" applyFill="1" applyBorder="1" applyAlignment="1" applyProtection="1">
      <alignment horizontal="center" vertical="center" wrapText="1"/>
    </xf>
    <xf numFmtId="0" fontId="3" fillId="10" borderId="72" xfId="1" applyNumberFormat="1" applyFont="1" applyFill="1" applyBorder="1" applyAlignment="1" applyProtection="1">
      <alignment horizontal="center" vertical="center" wrapText="1"/>
    </xf>
    <xf numFmtId="166" fontId="11" fillId="10" borderId="4" xfId="1" applyNumberFormat="1" applyFont="1" applyFill="1" applyBorder="1" applyAlignment="1" applyProtection="1">
      <alignment horizontal="center" vertical="center" wrapText="1"/>
    </xf>
    <xf numFmtId="166" fontId="11" fillId="10" borderId="5" xfId="1" applyNumberFormat="1" applyFont="1" applyFill="1" applyBorder="1" applyAlignment="1" applyProtection="1">
      <alignment horizontal="center" vertical="center" wrapText="1"/>
    </xf>
    <xf numFmtId="0" fontId="11" fillId="31" borderId="1" xfId="1" applyNumberFormat="1" applyFont="1" applyFill="1" applyBorder="1" applyAlignment="1" applyProtection="1">
      <alignment horizontal="center" vertical="center" wrapText="1"/>
      <protection locked="0"/>
    </xf>
    <xf numFmtId="43" fontId="11" fillId="10" borderId="55" xfId="1" applyNumberFormat="1" applyFont="1" applyFill="1" applyBorder="1" applyAlignment="1" applyProtection="1">
      <alignment horizontal="right" vertical="center" wrapText="1"/>
    </xf>
    <xf numFmtId="0" fontId="5" fillId="10" borderId="48" xfId="1" applyNumberFormat="1" applyFont="1" applyFill="1" applyBorder="1" applyAlignment="1" applyProtection="1">
      <alignment horizontal="center" vertical="center" wrapText="1"/>
    </xf>
    <xf numFmtId="166" fontId="11" fillId="10" borderId="2" xfId="1" applyNumberFormat="1" applyFont="1" applyFill="1" applyBorder="1" applyAlignment="1" applyProtection="1">
      <alignment horizontal="center" vertical="center" wrapText="1"/>
    </xf>
    <xf numFmtId="166" fontId="11" fillId="2" borderId="1" xfId="1" applyNumberFormat="1" applyFont="1" applyFill="1" applyBorder="1" applyAlignment="1" applyProtection="1">
      <alignment horizontal="center" vertical="center" wrapText="1"/>
    </xf>
    <xf numFmtId="0" fontId="0" fillId="2" borderId="20" xfId="0" applyFill="1" applyBorder="1" applyAlignment="1">
      <alignment horizontal="center" vertical="center" wrapText="1"/>
    </xf>
    <xf numFmtId="0" fontId="20" fillId="25" borderId="1" xfId="1" applyNumberFormat="1" applyFont="1" applyFill="1" applyBorder="1" applyAlignment="1" applyProtection="1">
      <alignment horizontal="center" vertical="center" wrapText="1"/>
      <protection locked="0"/>
    </xf>
    <xf numFmtId="0" fontId="11" fillId="3" borderId="2" xfId="1" applyNumberFormat="1" applyFont="1" applyFill="1" applyBorder="1" applyAlignment="1">
      <alignment horizontal="center" vertical="center" wrapText="1"/>
    </xf>
    <xf numFmtId="0" fontId="11" fillId="12" borderId="9" xfId="1" applyNumberFormat="1" applyFont="1" applyFill="1" applyBorder="1" applyAlignment="1" applyProtection="1">
      <alignment horizontal="center" vertical="center" wrapText="1"/>
      <protection locked="0"/>
    </xf>
    <xf numFmtId="0" fontId="20" fillId="25" borderId="66" xfId="1" applyNumberFormat="1" applyFont="1" applyFill="1" applyBorder="1" applyAlignment="1" applyProtection="1">
      <alignment horizontal="center" vertical="center" wrapText="1"/>
      <protection locked="0"/>
    </xf>
    <xf numFmtId="0" fontId="11" fillId="3" borderId="37" xfId="1" applyNumberFormat="1" applyFont="1" applyFill="1" applyBorder="1" applyAlignment="1">
      <alignment horizontal="center" vertical="center" wrapText="1"/>
    </xf>
    <xf numFmtId="43" fontId="11" fillId="10" borderId="58" xfId="1" applyNumberFormat="1" applyFont="1" applyFill="1" applyBorder="1" applyAlignment="1" applyProtection="1">
      <alignment horizontal="right" vertical="center" wrapText="1"/>
    </xf>
    <xf numFmtId="0" fontId="5" fillId="10" borderId="59" xfId="1" applyNumberFormat="1" applyFont="1" applyFill="1" applyBorder="1" applyAlignment="1" applyProtection="1">
      <alignment horizontal="center" vertical="center" wrapText="1"/>
    </xf>
    <xf numFmtId="4" fontId="3" fillId="11" borderId="5" xfId="1" applyNumberFormat="1" applyFont="1" applyFill="1" applyBorder="1" applyAlignment="1" applyProtection="1">
      <alignment horizontal="center" vertical="center" wrapText="1"/>
    </xf>
    <xf numFmtId="0" fontId="3" fillId="11" borderId="72" xfId="1" applyNumberFormat="1" applyFont="1" applyFill="1" applyBorder="1" applyAlignment="1" applyProtection="1">
      <alignment horizontal="center" vertical="center" wrapText="1"/>
    </xf>
    <xf numFmtId="168" fontId="4" fillId="11" borderId="5" xfId="1" applyNumberFormat="1" applyFont="1" applyFill="1" applyBorder="1" applyAlignment="1" applyProtection="1">
      <alignment horizontal="center" vertical="center" wrapText="1"/>
    </xf>
    <xf numFmtId="0" fontId="11" fillId="17" borderId="4" xfId="1" applyNumberFormat="1" applyFont="1" applyFill="1" applyBorder="1" applyAlignment="1" applyProtection="1">
      <alignment horizontal="center" vertical="center" wrapText="1"/>
      <protection locked="0"/>
    </xf>
    <xf numFmtId="0" fontId="11" fillId="17" borderId="64" xfId="1" applyNumberFormat="1" applyFont="1" applyFill="1" applyBorder="1" applyAlignment="1" applyProtection="1">
      <alignment horizontal="center" vertical="center" wrapText="1"/>
      <protection locked="0"/>
    </xf>
    <xf numFmtId="0" fontId="11" fillId="17" borderId="5" xfId="1" applyNumberFormat="1" applyFont="1" applyFill="1" applyBorder="1" applyAlignment="1" applyProtection="1">
      <alignment horizontal="center" vertical="center" wrapText="1"/>
      <protection locked="0"/>
    </xf>
    <xf numFmtId="0" fontId="11" fillId="17" borderId="6" xfId="1" applyNumberFormat="1" applyFont="1" applyFill="1" applyBorder="1" applyAlignment="1">
      <alignment horizontal="center" vertical="center" wrapText="1"/>
    </xf>
    <xf numFmtId="43" fontId="11" fillId="0" borderId="6" xfId="1" applyNumberFormat="1" applyFont="1" applyFill="1" applyBorder="1" applyAlignment="1" applyProtection="1">
      <alignment horizontal="center" vertical="center" wrapText="1"/>
      <protection locked="0"/>
    </xf>
    <xf numFmtId="43" fontId="11" fillId="11" borderId="55" xfId="1" applyNumberFormat="1" applyFont="1" applyFill="1" applyBorder="1" applyAlignment="1" applyProtection="1">
      <alignment horizontal="right" vertical="center" wrapText="1"/>
    </xf>
    <xf numFmtId="0" fontId="5" fillId="11" borderId="48" xfId="1" applyNumberFormat="1" applyFont="1" applyFill="1" applyBorder="1" applyAlignment="1" applyProtection="1">
      <alignment horizontal="center" vertical="center" wrapText="1"/>
    </xf>
    <xf numFmtId="0" fontId="3" fillId="11" borderId="41" xfId="1" applyNumberFormat="1" applyFont="1" applyFill="1" applyBorder="1" applyAlignment="1" applyProtection="1">
      <alignment horizontal="center" vertical="center" wrapText="1"/>
    </xf>
    <xf numFmtId="166" fontId="11" fillId="11" borderId="1" xfId="1" applyNumberFormat="1" applyFont="1" applyFill="1" applyBorder="1" applyAlignment="1" applyProtection="1">
      <alignment horizontal="center" vertical="center" wrapText="1"/>
    </xf>
    <xf numFmtId="168" fontId="4" fillId="11" borderId="1" xfId="1" applyNumberFormat="1" applyFont="1" applyFill="1" applyBorder="1" applyAlignment="1" applyProtection="1">
      <alignment horizontal="center" vertical="center" wrapText="1"/>
    </xf>
    <xf numFmtId="0" fontId="11" fillId="17" borderId="2" xfId="1" applyNumberFormat="1" applyFont="1" applyFill="1" applyBorder="1" applyAlignment="1" applyProtection="1">
      <alignment horizontal="center" vertical="center" wrapText="1"/>
      <protection locked="0"/>
    </xf>
    <xf numFmtId="0" fontId="11" fillId="17" borderId="20" xfId="1" applyNumberFormat="1" applyFont="1" applyFill="1" applyBorder="1" applyAlignment="1" applyProtection="1">
      <alignment horizontal="center" vertical="center" wrapText="1"/>
      <protection locked="0"/>
    </xf>
    <xf numFmtId="0" fontId="11" fillId="17" borderId="1" xfId="1" applyNumberFormat="1" applyFont="1" applyFill="1" applyBorder="1" applyAlignment="1" applyProtection="1">
      <alignment horizontal="center" vertical="center" wrapText="1"/>
      <protection locked="0"/>
    </xf>
    <xf numFmtId="0" fontId="11" fillId="28" borderId="3" xfId="1" applyNumberFormat="1" applyFont="1" applyFill="1" applyBorder="1" applyAlignment="1">
      <alignment horizontal="center" vertical="center" wrapText="1"/>
    </xf>
    <xf numFmtId="43" fontId="11" fillId="11" borderId="62" xfId="1" applyNumberFormat="1" applyFont="1" applyFill="1" applyBorder="1" applyAlignment="1" applyProtection="1">
      <alignment horizontal="right" vertical="center" wrapText="1"/>
    </xf>
    <xf numFmtId="0" fontId="5" fillId="11" borderId="49" xfId="1" applyNumberFormat="1" applyFont="1" applyFill="1" applyBorder="1" applyAlignment="1" applyProtection="1">
      <alignment horizontal="center" vertical="center" wrapText="1"/>
    </xf>
    <xf numFmtId="0" fontId="3" fillId="11" borderId="69" xfId="1" applyNumberFormat="1" applyFont="1" applyFill="1" applyBorder="1" applyAlignment="1" applyProtection="1">
      <alignment horizontal="center" vertical="center" wrapText="1"/>
    </xf>
    <xf numFmtId="166" fontId="11" fillId="11" borderId="9" xfId="1" applyNumberFormat="1" applyFont="1" applyFill="1" applyBorder="1" applyAlignment="1" applyProtection="1">
      <alignment horizontal="center" vertical="center" wrapText="1"/>
    </xf>
    <xf numFmtId="168" fontId="4" fillId="11" borderId="7" xfId="1" applyNumberFormat="1" applyFont="1" applyFill="1" applyBorder="1" applyAlignment="1" applyProtection="1">
      <alignment horizontal="center" vertical="center" wrapText="1"/>
    </xf>
    <xf numFmtId="0" fontId="11" fillId="17" borderId="9" xfId="1" applyNumberFormat="1" applyFont="1" applyFill="1" applyBorder="1" applyAlignment="1" applyProtection="1">
      <alignment horizontal="center" vertical="center" wrapText="1"/>
      <protection locked="0"/>
    </xf>
    <xf numFmtId="0" fontId="11" fillId="17" borderId="66" xfId="1" applyNumberFormat="1" applyFont="1" applyFill="1" applyBorder="1" applyAlignment="1" applyProtection="1">
      <alignment horizontal="center" vertical="center" wrapText="1"/>
      <protection locked="0"/>
    </xf>
    <xf numFmtId="0" fontId="11" fillId="17" borderId="7" xfId="1" applyNumberFormat="1" applyFont="1" applyFill="1" applyBorder="1" applyAlignment="1" applyProtection="1">
      <alignment horizontal="center" vertical="center" wrapText="1"/>
      <protection locked="0"/>
    </xf>
    <xf numFmtId="0" fontId="11" fillId="17" borderId="8" xfId="1" applyNumberFormat="1" applyFont="1" applyFill="1" applyBorder="1" applyAlignment="1">
      <alignment horizontal="center" vertical="center" wrapText="1"/>
    </xf>
    <xf numFmtId="0" fontId="11" fillId="25" borderId="5" xfId="1" applyNumberFormat="1" applyFont="1" applyFill="1" applyBorder="1" applyAlignment="1" applyProtection="1">
      <alignment horizontal="center" vertical="center" wrapText="1"/>
      <protection locked="0"/>
    </xf>
    <xf numFmtId="0" fontId="11" fillId="2" borderId="5" xfId="1" applyNumberFormat="1" applyFont="1" applyFill="1" applyBorder="1" applyAlignment="1" applyProtection="1">
      <alignment horizontal="center" vertical="center" wrapText="1"/>
      <protection locked="0"/>
    </xf>
    <xf numFmtId="0" fontId="11" fillId="0" borderId="4" xfId="1" applyNumberFormat="1" applyFont="1" applyFill="1" applyBorder="1" applyAlignment="1" applyProtection="1">
      <alignment horizontal="center" vertical="center" wrapText="1"/>
    </xf>
    <xf numFmtId="43" fontId="16" fillId="34" borderId="1" xfId="1" applyNumberFormat="1" applyFont="1" applyFill="1" applyBorder="1" applyAlignment="1" applyProtection="1">
      <alignment horizontal="center" vertical="center" wrapText="1"/>
    </xf>
    <xf numFmtId="0" fontId="11" fillId="17" borderId="3" xfId="1" applyNumberFormat="1" applyFont="1" applyFill="1" applyBorder="1" applyAlignment="1">
      <alignment horizontal="center" vertical="center" wrapText="1"/>
    </xf>
    <xf numFmtId="0" fontId="11" fillId="0" borderId="2" xfId="1" applyNumberFormat="1" applyFont="1" applyFill="1" applyBorder="1" applyAlignment="1" applyProtection="1">
      <alignment horizontal="center" vertical="center" wrapText="1"/>
    </xf>
    <xf numFmtId="0" fontId="11" fillId="11" borderId="1" xfId="1" applyNumberFormat="1" applyFont="1" applyFill="1" applyBorder="1" applyAlignment="1" applyProtection="1">
      <alignment horizontal="center" vertical="center" wrapText="1"/>
    </xf>
    <xf numFmtId="0" fontId="11" fillId="11" borderId="3" xfId="1" applyNumberFormat="1" applyFont="1" applyFill="1" applyBorder="1" applyAlignment="1" applyProtection="1">
      <alignment horizontal="center" vertical="center" wrapText="1"/>
    </xf>
    <xf numFmtId="0" fontId="21" fillId="0" borderId="49" xfId="1" applyNumberFormat="1" applyFont="1" applyFill="1" applyBorder="1" applyAlignment="1">
      <alignment horizontal="center" vertical="center" wrapText="1"/>
    </xf>
    <xf numFmtId="0" fontId="4" fillId="0" borderId="49" xfId="1" applyNumberFormat="1" applyFont="1" applyFill="1" applyBorder="1" applyAlignment="1" applyProtection="1">
      <alignment horizontal="center" vertical="center" wrapText="1"/>
    </xf>
    <xf numFmtId="0" fontId="5" fillId="11" borderId="1" xfId="1" applyNumberFormat="1" applyFont="1" applyFill="1" applyBorder="1" applyAlignment="1" applyProtection="1">
      <alignment horizontal="center" vertical="center" wrapText="1"/>
    </xf>
    <xf numFmtId="0" fontId="11" fillId="3" borderId="10" xfId="1" applyNumberFormat="1" applyFont="1" applyFill="1" applyBorder="1" applyAlignment="1" applyProtection="1">
      <alignment vertical="center" wrapText="1"/>
      <protection locked="0"/>
    </xf>
    <xf numFmtId="43" fontId="11" fillId="3" borderId="18" xfId="1" applyNumberFormat="1" applyFont="1" applyFill="1" applyBorder="1" applyAlignment="1" applyProtection="1">
      <alignment vertical="center" wrapText="1"/>
      <protection locked="0"/>
    </xf>
    <xf numFmtId="0" fontId="11" fillId="3" borderId="1" xfId="1" applyNumberFormat="1" applyFont="1" applyFill="1" applyBorder="1" applyAlignment="1" applyProtection="1">
      <alignment vertical="center" wrapText="1"/>
      <protection locked="0"/>
    </xf>
    <xf numFmtId="166" fontId="4" fillId="0" borderId="49" xfId="1" applyNumberFormat="1" applyFont="1" applyFill="1" applyBorder="1" applyAlignment="1" applyProtection="1">
      <alignment horizontal="center" vertical="center" wrapText="1"/>
    </xf>
    <xf numFmtId="4" fontId="3" fillId="11" borderId="7" xfId="1" applyNumberFormat="1" applyFont="1" applyFill="1" applyBorder="1" applyAlignment="1" applyProtection="1">
      <alignment horizontal="center" vertical="center" wrapText="1"/>
    </xf>
    <xf numFmtId="166" fontId="11" fillId="25" borderId="30" xfId="1" applyNumberFormat="1" applyFont="1" applyFill="1" applyBorder="1" applyAlignment="1" applyProtection="1">
      <alignment horizontal="center" vertical="center" wrapText="1"/>
    </xf>
    <xf numFmtId="166" fontId="11" fillId="11" borderId="10" xfId="1" applyNumberFormat="1" applyFont="1" applyFill="1" applyBorder="1" applyAlignment="1" applyProtection="1">
      <alignment horizontal="center" vertical="center" wrapText="1"/>
    </xf>
    <xf numFmtId="168" fontId="4" fillId="11" borderId="10" xfId="1" applyNumberFormat="1" applyFont="1" applyFill="1" applyBorder="1" applyAlignment="1" applyProtection="1">
      <alignment horizontal="center" vertical="center" wrapText="1"/>
    </xf>
    <xf numFmtId="166" fontId="4" fillId="11" borderId="10" xfId="1" applyNumberFormat="1" applyFont="1" applyFill="1" applyBorder="1" applyAlignment="1" applyProtection="1">
      <alignment horizontal="center" vertical="center" wrapText="1"/>
    </xf>
    <xf numFmtId="0" fontId="5" fillId="11" borderId="10" xfId="1" applyNumberFormat="1" applyFont="1" applyFill="1" applyBorder="1" applyAlignment="1" applyProtection="1">
      <alignment horizontal="center" vertical="center" wrapText="1"/>
    </xf>
    <xf numFmtId="166" fontId="3" fillId="11" borderId="43" xfId="1" applyNumberFormat="1" applyFont="1" applyFill="1" applyBorder="1" applyAlignment="1" applyProtection="1">
      <alignment horizontal="left" vertical="center" wrapText="1"/>
    </xf>
    <xf numFmtId="166" fontId="4" fillId="0" borderId="50" xfId="1" applyNumberFormat="1" applyFont="1" applyFill="1" applyBorder="1" applyAlignment="1" applyProtection="1">
      <alignment horizontal="center" vertical="center" wrapText="1"/>
    </xf>
    <xf numFmtId="43" fontId="11" fillId="11" borderId="58" xfId="1" applyNumberFormat="1" applyFont="1" applyFill="1" applyBorder="1" applyAlignment="1" applyProtection="1">
      <alignment horizontal="right" vertical="center" wrapText="1"/>
    </xf>
    <xf numFmtId="0" fontId="5" fillId="11" borderId="59" xfId="1" applyNumberFormat="1" applyFont="1" applyFill="1" applyBorder="1" applyAlignment="1" applyProtection="1">
      <alignment horizontal="center" vertical="center" wrapText="1"/>
    </xf>
    <xf numFmtId="4" fontId="3" fillId="12" borderId="5" xfId="1" applyNumberFormat="1" applyFont="1" applyFill="1" applyBorder="1" applyAlignment="1" applyProtection="1">
      <alignment horizontal="center" vertical="center" wrapText="1"/>
    </xf>
    <xf numFmtId="0" fontId="3" fillId="12" borderId="72" xfId="1" applyNumberFormat="1" applyFont="1" applyFill="1" applyBorder="1" applyAlignment="1" applyProtection="1">
      <alignment horizontal="center" vertical="center" wrapText="1"/>
    </xf>
    <xf numFmtId="168" fontId="4" fillId="12" borderId="5" xfId="1" applyNumberFormat="1" applyFont="1" applyFill="1" applyBorder="1" applyAlignment="1" applyProtection="1">
      <alignment horizontal="center" vertical="center" wrapText="1"/>
    </xf>
    <xf numFmtId="166" fontId="4" fillId="0" borderId="48" xfId="1" applyNumberFormat="1" applyFont="1" applyFill="1" applyBorder="1" applyAlignment="1" applyProtection="1">
      <alignment horizontal="center" vertical="center" wrapText="1"/>
    </xf>
    <xf numFmtId="0" fontId="11" fillId="19" borderId="64" xfId="1" applyNumberFormat="1" applyFont="1" applyFill="1" applyBorder="1" applyAlignment="1" applyProtection="1">
      <alignment horizontal="center" vertical="center" wrapText="1"/>
      <protection locked="0"/>
    </xf>
    <xf numFmtId="43" fontId="11" fillId="12" borderId="55" xfId="1" applyNumberFormat="1" applyFont="1" applyFill="1" applyBorder="1" applyAlignment="1" applyProtection="1">
      <alignment horizontal="right" vertical="center" wrapText="1"/>
    </xf>
    <xf numFmtId="0" fontId="5" fillId="12" borderId="48" xfId="1" applyNumberFormat="1" applyFont="1" applyFill="1" applyBorder="1" applyAlignment="1" applyProtection="1">
      <alignment horizontal="center" vertical="center" wrapText="1"/>
    </xf>
    <xf numFmtId="4" fontId="3" fillId="12" borderId="1" xfId="1" applyNumberFormat="1" applyFont="1" applyFill="1" applyBorder="1" applyAlignment="1" applyProtection="1">
      <alignment horizontal="center" vertical="center" wrapText="1"/>
    </xf>
    <xf numFmtId="0" fontId="3" fillId="12" borderId="69" xfId="1" applyNumberFormat="1" applyFont="1" applyFill="1" applyBorder="1" applyAlignment="1" applyProtection="1">
      <alignment horizontal="center" vertical="center" wrapText="1"/>
    </xf>
    <xf numFmtId="166" fontId="4" fillId="25" borderId="9" xfId="1" applyNumberFormat="1" applyFont="1" applyFill="1" applyBorder="1" applyAlignment="1" applyProtection="1">
      <alignment horizontal="center" vertical="center" wrapText="1"/>
    </xf>
    <xf numFmtId="168" fontId="4" fillId="12" borderId="7" xfId="1" applyNumberFormat="1" applyFont="1" applyFill="1" applyBorder="1" applyAlignment="1" applyProtection="1">
      <alignment horizontal="center" vertical="center" wrapText="1"/>
    </xf>
    <xf numFmtId="166" fontId="4" fillId="0" borderId="59" xfId="1" applyNumberFormat="1" applyFont="1" applyFill="1" applyBorder="1" applyAlignment="1" applyProtection="1">
      <alignment horizontal="center" vertical="center" wrapText="1"/>
    </xf>
    <xf numFmtId="0" fontId="11" fillId="19" borderId="66" xfId="1" applyNumberFormat="1" applyFont="1" applyFill="1" applyBorder="1" applyAlignment="1" applyProtection="1">
      <alignment horizontal="center" vertical="center" wrapText="1"/>
      <protection locked="0"/>
    </xf>
    <xf numFmtId="0" fontId="11" fillId="19" borderId="7" xfId="1" applyNumberFormat="1" applyFont="1" applyFill="1" applyBorder="1" applyAlignment="1" applyProtection="1">
      <alignment horizontal="center" vertical="center" wrapText="1"/>
      <protection locked="0"/>
    </xf>
    <xf numFmtId="0" fontId="11" fillId="0" borderId="9" xfId="1" applyNumberFormat="1" applyFont="1" applyFill="1" applyBorder="1" applyAlignment="1" applyProtection="1">
      <alignment horizontal="center" vertical="center" wrapText="1"/>
    </xf>
    <xf numFmtId="43" fontId="11" fillId="12" borderId="62" xfId="1" applyNumberFormat="1" applyFont="1" applyFill="1" applyBorder="1" applyAlignment="1" applyProtection="1">
      <alignment horizontal="right" vertical="center" wrapText="1"/>
    </xf>
    <xf numFmtId="0" fontId="5" fillId="12" borderId="49" xfId="1" applyNumberFormat="1" applyFont="1" applyFill="1" applyBorder="1" applyAlignment="1" applyProtection="1">
      <alignment horizontal="center" vertical="center" wrapText="1"/>
    </xf>
    <xf numFmtId="166" fontId="11" fillId="12" borderId="5" xfId="1" applyNumberFormat="1" applyFont="1" applyFill="1" applyBorder="1" applyAlignment="1" applyProtection="1">
      <alignment horizontal="center" vertical="center" wrapText="1"/>
    </xf>
    <xf numFmtId="4" fontId="3" fillId="12" borderId="7" xfId="1" applyNumberFormat="1" applyFont="1" applyFill="1" applyBorder="1" applyAlignment="1" applyProtection="1">
      <alignment horizontal="center" vertical="center" wrapText="1"/>
    </xf>
    <xf numFmtId="0" fontId="11" fillId="34" borderId="7" xfId="1" applyNumberFormat="1" applyFont="1" applyFill="1" applyBorder="1" applyAlignment="1" applyProtection="1">
      <alignment horizontal="center" vertical="center" wrapText="1"/>
      <protection locked="0"/>
    </xf>
    <xf numFmtId="43" fontId="11" fillId="12" borderId="58" xfId="1" applyNumberFormat="1" applyFont="1" applyFill="1" applyBorder="1" applyAlignment="1" applyProtection="1">
      <alignment horizontal="right" vertical="center" wrapText="1"/>
    </xf>
    <xf numFmtId="0" fontId="5" fillId="12" borderId="59" xfId="1" applyNumberFormat="1" applyFont="1" applyFill="1" applyBorder="1" applyAlignment="1" applyProtection="1">
      <alignment horizontal="center" vertical="center" wrapText="1"/>
    </xf>
    <xf numFmtId="0" fontId="3" fillId="26" borderId="72" xfId="1" applyNumberFormat="1" applyFont="1" applyFill="1" applyBorder="1" applyAlignment="1" applyProtection="1">
      <alignment horizontal="center" vertical="center" wrapText="1"/>
    </xf>
    <xf numFmtId="166" fontId="11" fillId="26" borderId="5" xfId="1" applyNumberFormat="1" applyFont="1" applyFill="1" applyBorder="1" applyAlignment="1" applyProtection="1">
      <alignment horizontal="center" vertical="center" wrapText="1"/>
    </xf>
    <xf numFmtId="168" fontId="4" fillId="26" borderId="5" xfId="1" applyNumberFormat="1" applyFont="1" applyFill="1" applyBorder="1" applyAlignment="1">
      <alignment horizontal="center" vertical="center" wrapText="1"/>
    </xf>
    <xf numFmtId="0" fontId="4" fillId="0" borderId="48" xfId="1" applyNumberFormat="1" applyFont="1" applyFill="1" applyBorder="1" applyAlignment="1" applyProtection="1">
      <alignment horizontal="center" vertical="center" wrapText="1"/>
      <protection locked="0"/>
    </xf>
    <xf numFmtId="0" fontId="11" fillId="30" borderId="64" xfId="1" applyNumberFormat="1" applyFont="1" applyFill="1" applyBorder="1" applyAlignment="1" applyProtection="1">
      <alignment horizontal="center" vertical="center" wrapText="1"/>
      <protection locked="0"/>
    </xf>
    <xf numFmtId="0" fontId="11" fillId="30" borderId="5" xfId="1" applyNumberFormat="1" applyFont="1" applyFill="1" applyBorder="1" applyAlignment="1" applyProtection="1">
      <alignment horizontal="center" vertical="center" wrapText="1"/>
      <protection locked="0"/>
    </xf>
    <xf numFmtId="0" fontId="11" fillId="31" borderId="6" xfId="1" applyNumberFormat="1" applyFont="1" applyFill="1" applyBorder="1" applyAlignment="1" applyProtection="1">
      <alignment horizontal="center" vertical="center" wrapText="1"/>
    </xf>
    <xf numFmtId="43" fontId="11" fillId="0" borderId="65" xfId="1" applyNumberFormat="1" applyFont="1" applyFill="1" applyBorder="1" applyAlignment="1" applyProtection="1">
      <alignment vertical="center" wrapText="1"/>
      <protection locked="0"/>
    </xf>
    <xf numFmtId="43" fontId="11" fillId="26" borderId="55" xfId="1" applyNumberFormat="1" applyFont="1" applyFill="1" applyBorder="1" applyAlignment="1" applyProtection="1">
      <alignment horizontal="right" vertical="center" wrapText="1"/>
    </xf>
    <xf numFmtId="0" fontId="5" fillId="26" borderId="48" xfId="1" applyNumberFormat="1" applyFont="1" applyFill="1" applyBorder="1" applyAlignment="1" applyProtection="1">
      <alignment horizontal="center" vertical="center" wrapText="1"/>
    </xf>
    <xf numFmtId="0" fontId="3" fillId="26" borderId="69" xfId="1" applyNumberFormat="1" applyFont="1" applyFill="1" applyBorder="1" applyAlignment="1" applyProtection="1">
      <alignment horizontal="center" vertical="center" wrapText="1"/>
    </xf>
    <xf numFmtId="166" fontId="11" fillId="26" borderId="7" xfId="1" applyNumberFormat="1" applyFont="1" applyFill="1" applyBorder="1" applyAlignment="1" applyProtection="1">
      <alignment horizontal="center" vertical="center" wrapText="1"/>
    </xf>
    <xf numFmtId="168" fontId="4" fillId="26" borderId="7" xfId="1" applyNumberFormat="1" applyFont="1" applyFill="1" applyBorder="1" applyAlignment="1">
      <alignment horizontal="center" vertical="center" wrapText="1"/>
    </xf>
    <xf numFmtId="0" fontId="4" fillId="0" borderId="59" xfId="1" applyNumberFormat="1" applyFont="1" applyFill="1" applyBorder="1" applyAlignment="1" applyProtection="1">
      <alignment horizontal="center" vertical="center" wrapText="1"/>
      <protection locked="0"/>
    </xf>
    <xf numFmtId="0" fontId="11" fillId="30" borderId="66" xfId="1" applyNumberFormat="1" applyFont="1" applyFill="1" applyBorder="1" applyAlignment="1" applyProtection="1">
      <alignment horizontal="center" vertical="center" wrapText="1"/>
      <protection locked="0"/>
    </xf>
    <xf numFmtId="0" fontId="11" fillId="30" borderId="7" xfId="1" applyNumberFormat="1" applyFont="1" applyFill="1" applyBorder="1" applyAlignment="1" applyProtection="1">
      <alignment horizontal="center" vertical="center" wrapText="1"/>
      <protection locked="0"/>
    </xf>
    <xf numFmtId="0" fontId="11" fillId="31" borderId="8" xfId="1" applyNumberFormat="1" applyFont="1" applyFill="1" applyBorder="1" applyAlignment="1" applyProtection="1">
      <alignment horizontal="center" vertical="center" wrapText="1"/>
    </xf>
    <xf numFmtId="43" fontId="11" fillId="0" borderId="33" xfId="1" applyNumberFormat="1" applyFont="1" applyFill="1" applyBorder="1" applyAlignment="1" applyProtection="1">
      <alignment vertical="center" wrapText="1"/>
      <protection locked="0"/>
    </xf>
    <xf numFmtId="43" fontId="11" fillId="26" borderId="58" xfId="1" applyNumberFormat="1" applyFont="1" applyFill="1" applyBorder="1" applyAlignment="1" applyProtection="1">
      <alignment horizontal="right" vertical="center" wrapText="1"/>
    </xf>
    <xf numFmtId="0" fontId="5" fillId="26" borderId="59" xfId="1" applyNumberFormat="1" applyFont="1" applyFill="1" applyBorder="1" applyAlignment="1" applyProtection="1">
      <alignment horizontal="center" vertical="center" wrapText="1"/>
    </xf>
    <xf numFmtId="0" fontId="6" fillId="9" borderId="16" xfId="0" applyFont="1" applyFill="1" applyBorder="1" applyAlignment="1">
      <alignment horizontal="center" vertical="center" wrapText="1"/>
    </xf>
    <xf numFmtId="0" fontId="6" fillId="9" borderId="24" xfId="0" applyFont="1" applyFill="1" applyBorder="1" applyAlignment="1">
      <alignment horizontal="center" vertical="center" wrapText="1"/>
    </xf>
    <xf numFmtId="0" fontId="3" fillId="9" borderId="15" xfId="1" applyNumberFormat="1" applyFont="1" applyFill="1" applyBorder="1" applyAlignment="1" applyProtection="1">
      <alignment horizontal="center" vertical="center" wrapText="1"/>
    </xf>
    <xf numFmtId="166" fontId="11" fillId="19" borderId="24" xfId="1" applyNumberFormat="1" applyFont="1" applyFill="1" applyBorder="1" applyAlignment="1" applyProtection="1">
      <alignment horizontal="center" vertical="center" wrapText="1"/>
    </xf>
    <xf numFmtId="166" fontId="11" fillId="2" borderId="25" xfId="1" applyNumberFormat="1" applyFont="1" applyFill="1" applyBorder="1" applyAlignment="1" applyProtection="1">
      <alignment horizontal="center" vertical="center" wrapText="1"/>
    </xf>
    <xf numFmtId="168" fontId="4" fillId="9" borderId="25" xfId="1" applyNumberFormat="1" applyFont="1" applyFill="1" applyBorder="1" applyAlignment="1">
      <alignment horizontal="center" vertical="center" wrapText="1"/>
    </xf>
    <xf numFmtId="0" fontId="4" fillId="0" borderId="45" xfId="1" applyNumberFormat="1" applyFont="1" applyFill="1" applyBorder="1" applyAlignment="1" applyProtection="1">
      <alignment horizontal="center" vertical="center" wrapText="1"/>
      <protection locked="0"/>
    </xf>
    <xf numFmtId="0" fontId="4" fillId="9" borderId="24" xfId="1" applyNumberFormat="1" applyFont="1" applyFill="1" applyBorder="1" applyAlignment="1" applyProtection="1">
      <alignment horizontal="left" vertical="center" wrapText="1"/>
      <protection locked="0"/>
    </xf>
    <xf numFmtId="0" fontId="11" fillId="20" borderId="60" xfId="1" applyNumberFormat="1" applyFont="1" applyFill="1" applyBorder="1" applyAlignment="1" applyProtection="1">
      <alignment horizontal="center" vertical="center" wrapText="1"/>
      <protection locked="0"/>
    </xf>
    <xf numFmtId="0" fontId="11" fillId="20" borderId="25" xfId="1" applyNumberFormat="1" applyFont="1" applyFill="1" applyBorder="1" applyAlignment="1" applyProtection="1">
      <alignment horizontal="center" vertical="center" wrapText="1"/>
      <protection locked="0"/>
    </xf>
    <xf numFmtId="0" fontId="11" fillId="2" borderId="25" xfId="1" applyNumberFormat="1" applyFont="1" applyFill="1" applyBorder="1" applyAlignment="1" applyProtection="1">
      <alignment horizontal="center" vertical="center" wrapText="1"/>
      <protection locked="0"/>
    </xf>
    <xf numFmtId="0" fontId="11" fillId="0" borderId="24" xfId="1" applyNumberFormat="1" applyFont="1" applyFill="1" applyBorder="1" applyAlignment="1" applyProtection="1">
      <alignment horizontal="center" vertical="center" wrapText="1"/>
    </xf>
    <xf numFmtId="0" fontId="11" fillId="0" borderId="25" xfId="1" applyNumberFormat="1" applyFont="1" applyFill="1" applyBorder="1" applyAlignment="1" applyProtection="1">
      <alignment horizontal="center" vertical="center" wrapText="1"/>
      <protection locked="0"/>
    </xf>
    <xf numFmtId="43" fontId="11" fillId="0" borderId="26" xfId="1" applyNumberFormat="1" applyFont="1" applyFill="1" applyBorder="1" applyAlignment="1" applyProtection="1">
      <alignment horizontal="center" vertical="center" wrapText="1"/>
      <protection locked="0"/>
    </xf>
    <xf numFmtId="43" fontId="11" fillId="9" borderId="55" xfId="1" applyNumberFormat="1" applyFont="1" applyFill="1" applyBorder="1" applyAlignment="1" applyProtection="1">
      <alignment horizontal="right" vertical="center" wrapText="1"/>
    </xf>
    <xf numFmtId="0" fontId="5" fillId="9" borderId="48" xfId="1" applyNumberFormat="1" applyFont="1" applyFill="1" applyBorder="1" applyAlignment="1" applyProtection="1">
      <alignment horizontal="center" vertical="center" wrapText="1"/>
    </xf>
    <xf numFmtId="168" fontId="4" fillId="21" borderId="5" xfId="1" applyNumberFormat="1" applyFont="1" applyFill="1" applyBorder="1" applyAlignment="1" applyProtection="1">
      <alignment horizontal="center" vertical="center" wrapText="1"/>
    </xf>
    <xf numFmtId="0" fontId="11" fillId="23" borderId="64" xfId="1" applyNumberFormat="1" applyFont="1" applyFill="1" applyBorder="1" applyAlignment="1" applyProtection="1">
      <alignment horizontal="center" vertical="center" wrapText="1"/>
      <protection locked="0"/>
    </xf>
    <xf numFmtId="0" fontId="11" fillId="23" borderId="5" xfId="1" applyNumberFormat="1" applyFont="1" applyFill="1" applyBorder="1" applyAlignment="1" applyProtection="1">
      <alignment horizontal="center" vertical="center" wrapText="1"/>
      <protection locked="0"/>
    </xf>
    <xf numFmtId="0" fontId="11" fillId="23" borderId="1" xfId="1" applyNumberFormat="1" applyFont="1" applyFill="1" applyBorder="1" applyAlignment="1" applyProtection="1">
      <alignment horizontal="center" vertical="center" wrapText="1"/>
      <protection locked="0"/>
    </xf>
    <xf numFmtId="0" fontId="11" fillId="3" borderId="4" xfId="1" applyNumberFormat="1" applyFont="1" applyFill="1" applyBorder="1" applyAlignment="1" applyProtection="1">
      <alignment horizontal="center" vertical="center" wrapText="1"/>
    </xf>
    <xf numFmtId="43" fontId="11" fillId="3" borderId="6" xfId="1" applyNumberFormat="1" applyFont="1" applyFill="1" applyBorder="1" applyAlignment="1" applyProtection="1">
      <alignment horizontal="center" vertical="center" wrapText="1"/>
    </xf>
    <xf numFmtId="43" fontId="11" fillId="21" borderId="55" xfId="1" applyFont="1" applyFill="1" applyBorder="1" applyAlignment="1" applyProtection="1">
      <alignment horizontal="right" vertical="center" wrapText="1"/>
    </xf>
    <xf numFmtId="0" fontId="5" fillId="21" borderId="48" xfId="1" applyNumberFormat="1" applyFont="1" applyFill="1" applyBorder="1" applyAlignment="1" applyProtection="1">
      <alignment horizontal="center" vertical="center" wrapText="1"/>
    </xf>
    <xf numFmtId="0" fontId="11" fillId="21" borderId="7" xfId="1" applyNumberFormat="1" applyFont="1" applyFill="1" applyBorder="1" applyAlignment="1" applyProtection="1">
      <alignment horizontal="center" vertical="center" wrapText="1"/>
    </xf>
    <xf numFmtId="0" fontId="3" fillId="21" borderId="69" xfId="1" applyNumberFormat="1" applyFont="1" applyFill="1" applyBorder="1" applyAlignment="1" applyProtection="1">
      <alignment horizontal="center" vertical="center" wrapText="1"/>
    </xf>
    <xf numFmtId="168" fontId="4" fillId="21" borderId="7" xfId="1" applyNumberFormat="1" applyFont="1" applyFill="1" applyBorder="1" applyAlignment="1" applyProtection="1">
      <alignment horizontal="center" vertical="center" wrapText="1"/>
    </xf>
    <xf numFmtId="0" fontId="11" fillId="23" borderId="66" xfId="1" applyNumberFormat="1" applyFont="1" applyFill="1" applyBorder="1" applyAlignment="1" applyProtection="1">
      <alignment horizontal="center" vertical="center" wrapText="1"/>
      <protection locked="0"/>
    </xf>
    <xf numFmtId="0" fontId="11" fillId="23" borderId="7" xfId="1" applyNumberFormat="1" applyFont="1" applyFill="1" applyBorder="1" applyAlignment="1" applyProtection="1">
      <alignment horizontal="center" vertical="center" wrapText="1"/>
      <protection locked="0"/>
    </xf>
    <xf numFmtId="0" fontId="11" fillId="0" borderId="28" xfId="1" applyNumberFormat="1" applyFont="1" applyFill="1" applyBorder="1" applyAlignment="1" applyProtection="1">
      <alignment horizontal="center" vertical="center" wrapText="1"/>
    </xf>
    <xf numFmtId="43" fontId="11" fillId="21" borderId="62" xfId="1" applyFont="1" applyFill="1" applyBorder="1" applyAlignment="1" applyProtection="1">
      <alignment horizontal="right" vertical="center" wrapText="1"/>
    </xf>
    <xf numFmtId="0" fontId="5" fillId="21" borderId="49" xfId="1" applyNumberFormat="1" applyFont="1" applyFill="1" applyBorder="1" applyAlignment="1" applyProtection="1">
      <alignment horizontal="center" vertical="center" wrapText="1"/>
    </xf>
    <xf numFmtId="0" fontId="11" fillId="0" borderId="34" xfId="1" applyNumberFormat="1" applyFont="1" applyFill="1" applyBorder="1" applyAlignment="1" applyProtection="1">
      <alignment horizontal="center" vertical="center" wrapText="1"/>
    </xf>
    <xf numFmtId="0" fontId="11" fillId="0" borderId="35" xfId="1" applyNumberFormat="1" applyFont="1" applyFill="1" applyBorder="1" applyAlignment="1" applyProtection="1">
      <alignment horizontal="center" vertical="center" wrapText="1"/>
      <protection locked="0"/>
    </xf>
    <xf numFmtId="43" fontId="11" fillId="0" borderId="36" xfId="1" applyNumberFormat="1" applyFont="1" applyFill="1" applyBorder="1" applyAlignment="1" applyProtection="1">
      <alignment horizontal="center" vertical="center" wrapText="1"/>
      <protection locked="0"/>
    </xf>
    <xf numFmtId="43" fontId="2" fillId="34" borderId="1" xfId="1" applyFont="1" applyFill="1" applyBorder="1" applyAlignment="1" applyProtection="1">
      <alignment horizontal="center" vertical="center" wrapText="1"/>
    </xf>
    <xf numFmtId="0" fontId="3" fillId="21" borderId="41" xfId="1" applyNumberFormat="1" applyFont="1" applyFill="1" applyBorder="1" applyAlignment="1" applyProtection="1">
      <alignment horizontal="center" vertical="center" wrapText="1"/>
    </xf>
    <xf numFmtId="166" fontId="11" fillId="21" borderId="11" xfId="1" applyNumberFormat="1" applyFont="1" applyFill="1" applyBorder="1" applyAlignment="1" applyProtection="1">
      <alignment horizontal="center" vertical="center" wrapText="1"/>
    </xf>
    <xf numFmtId="168" fontId="4" fillId="21" borderId="11" xfId="0" applyNumberFormat="1" applyFont="1" applyFill="1" applyBorder="1" applyAlignment="1" applyProtection="1">
      <alignment horizontal="center" vertical="center" wrapText="1"/>
    </xf>
    <xf numFmtId="0" fontId="4" fillId="0" borderId="49" xfId="1" applyNumberFormat="1" applyFont="1" applyFill="1" applyBorder="1" applyAlignment="1" applyProtection="1">
      <alignment horizontal="center" vertical="center" wrapText="1"/>
      <protection locked="0"/>
    </xf>
    <xf numFmtId="0" fontId="11" fillId="23" borderId="20" xfId="1" applyNumberFormat="1" applyFont="1" applyFill="1" applyBorder="1" applyAlignment="1" applyProtection="1">
      <alignment horizontal="center" vertical="center" wrapText="1"/>
      <protection locked="0"/>
    </xf>
    <xf numFmtId="168" fontId="4" fillId="21" borderId="1" xfId="0" applyNumberFormat="1" applyFont="1" applyFill="1" applyBorder="1" applyAlignment="1" applyProtection="1">
      <alignment horizontal="center" vertical="center" wrapText="1"/>
    </xf>
    <xf numFmtId="0" fontId="4" fillId="0" borderId="49" xfId="0" applyFont="1" applyFill="1" applyBorder="1" applyAlignment="1" applyProtection="1">
      <alignment horizontal="center" vertical="center" wrapText="1"/>
    </xf>
    <xf numFmtId="166" fontId="11" fillId="21" borderId="1" xfId="1" applyNumberFormat="1" applyFont="1" applyFill="1" applyBorder="1" applyAlignment="1" applyProtection="1">
      <alignment horizontal="center" vertical="center" wrapText="1"/>
    </xf>
    <xf numFmtId="168" fontId="4" fillId="21" borderId="1" xfId="1" applyNumberFormat="1" applyFont="1" applyFill="1" applyBorder="1" applyAlignment="1" applyProtection="1">
      <alignment horizontal="center" vertical="center" wrapText="1"/>
    </xf>
    <xf numFmtId="0" fontId="11" fillId="25" borderId="1" xfId="1" applyNumberFormat="1" applyFont="1" applyFill="1" applyBorder="1" applyAlignment="1" applyProtection="1">
      <alignment horizontal="center" vertical="center" wrapText="1"/>
    </xf>
    <xf numFmtId="43" fontId="11" fillId="0" borderId="18" xfId="1" applyNumberFormat="1" applyFont="1" applyFill="1" applyBorder="1" applyAlignment="1" applyProtection="1">
      <alignment horizontal="center" vertical="center" wrapText="1"/>
    </xf>
    <xf numFmtId="4" fontId="3" fillId="21" borderId="7" xfId="1" applyNumberFormat="1" applyFont="1" applyFill="1" applyBorder="1" applyAlignment="1" applyProtection="1">
      <alignment horizontal="center" vertical="center" wrapText="1"/>
    </xf>
    <xf numFmtId="43" fontId="11" fillId="21" borderId="58" xfId="1" applyFont="1" applyFill="1" applyBorder="1" applyAlignment="1" applyProtection="1">
      <alignment horizontal="right" vertical="center" wrapText="1"/>
    </xf>
    <xf numFmtId="0" fontId="5" fillId="21" borderId="59" xfId="1" applyNumberFormat="1" applyFont="1" applyFill="1" applyBorder="1" applyAlignment="1" applyProtection="1">
      <alignment horizontal="center" vertical="center" wrapText="1"/>
    </xf>
    <xf numFmtId="0" fontId="8" fillId="13" borderId="24" xfId="0" applyFont="1" applyFill="1" applyBorder="1" applyAlignment="1">
      <alignment horizontal="center" vertical="center" wrapText="1"/>
    </xf>
    <xf numFmtId="4" fontId="3" fillId="13" borderId="5" xfId="1" applyNumberFormat="1" applyFont="1" applyFill="1" applyBorder="1" applyAlignment="1" applyProtection="1">
      <alignment horizontal="center" vertical="center" wrapText="1"/>
    </xf>
    <xf numFmtId="0" fontId="3" fillId="13" borderId="15" xfId="1" applyNumberFormat="1" applyFont="1" applyFill="1" applyBorder="1" applyAlignment="1" applyProtection="1">
      <alignment horizontal="center" vertical="center" wrapText="1"/>
    </xf>
    <xf numFmtId="166" fontId="4" fillId="0" borderId="45" xfId="1" applyNumberFormat="1" applyFont="1" applyFill="1" applyBorder="1" applyAlignment="1" applyProtection="1">
      <alignment horizontal="center" vertical="center" wrapText="1"/>
    </xf>
    <xf numFmtId="0" fontId="11" fillId="24" borderId="64" xfId="1" applyNumberFormat="1" applyFont="1" applyFill="1" applyBorder="1" applyAlignment="1" applyProtection="1">
      <alignment horizontal="center" vertical="center" wrapText="1"/>
      <protection locked="0"/>
    </xf>
    <xf numFmtId="0" fontId="11" fillId="24" borderId="5" xfId="1" applyNumberFormat="1" applyFont="1" applyFill="1" applyBorder="1" applyAlignment="1" applyProtection="1">
      <alignment horizontal="center" vertical="center" wrapText="1"/>
      <protection locked="0"/>
    </xf>
    <xf numFmtId="43" fontId="11" fillId="13" borderId="55" xfId="1" applyFont="1" applyFill="1" applyBorder="1" applyAlignment="1" applyProtection="1">
      <alignment horizontal="right" vertical="center" wrapText="1"/>
    </xf>
    <xf numFmtId="0" fontId="5" fillId="13" borderId="48" xfId="1" applyNumberFormat="1" applyFont="1" applyFill="1" applyBorder="1" applyAlignment="1" applyProtection="1">
      <alignment horizontal="center" vertical="center" wrapText="1"/>
    </xf>
    <xf numFmtId="0" fontId="3" fillId="13" borderId="72" xfId="1" applyNumberFormat="1" applyFont="1" applyFill="1" applyBorder="1" applyAlignment="1" applyProtection="1">
      <alignment horizontal="center" vertical="center" wrapText="1"/>
    </xf>
    <xf numFmtId="17" fontId="11" fillId="13" borderId="5" xfId="1" applyNumberFormat="1" applyFont="1" applyFill="1" applyBorder="1" applyAlignment="1" applyProtection="1">
      <alignment horizontal="center" vertical="center" wrapText="1"/>
      <protection locked="0"/>
    </xf>
    <xf numFmtId="168" fontId="11" fillId="13" borderId="5" xfId="1" applyNumberFormat="1" applyFont="1" applyFill="1" applyBorder="1" applyAlignment="1" applyProtection="1">
      <alignment horizontal="center" vertical="center" wrapText="1"/>
      <protection locked="0"/>
    </xf>
    <xf numFmtId="0" fontId="11" fillId="24" borderId="20" xfId="1" applyNumberFormat="1" applyFont="1" applyFill="1" applyBorder="1" applyAlignment="1" applyProtection="1">
      <alignment horizontal="center" vertical="center" wrapText="1"/>
      <protection locked="0"/>
    </xf>
    <xf numFmtId="0" fontId="11" fillId="24" borderId="1" xfId="1" applyNumberFormat="1" applyFont="1" applyFill="1" applyBorder="1" applyAlignment="1" applyProtection="1">
      <alignment horizontal="center" vertical="center" wrapText="1"/>
      <protection locked="0"/>
    </xf>
    <xf numFmtId="4" fontId="3" fillId="13" borderId="1" xfId="1" applyNumberFormat="1" applyFont="1" applyFill="1" applyBorder="1" applyAlignment="1" applyProtection="1">
      <alignment horizontal="center" vertical="center" wrapText="1"/>
    </xf>
    <xf numFmtId="0" fontId="3" fillId="13" borderId="41" xfId="1" applyNumberFormat="1" applyFont="1" applyFill="1" applyBorder="1" applyAlignment="1" applyProtection="1">
      <alignment horizontal="center" vertical="center" wrapText="1"/>
    </xf>
    <xf numFmtId="168" fontId="4" fillId="13" borderId="1" xfId="1" applyNumberFormat="1" applyFont="1" applyFill="1" applyBorder="1" applyAlignment="1" applyProtection="1">
      <alignment horizontal="center" vertical="center" wrapText="1"/>
    </xf>
    <xf numFmtId="43" fontId="11" fillId="13" borderId="62" xfId="1" applyFont="1" applyFill="1" applyBorder="1" applyAlignment="1" applyProtection="1">
      <alignment horizontal="right" vertical="center" wrapText="1"/>
    </xf>
    <xf numFmtId="0" fontId="5" fillId="13" borderId="49" xfId="1" applyNumberFormat="1" applyFont="1" applyFill="1" applyBorder="1" applyAlignment="1" applyProtection="1">
      <alignment horizontal="center" vertical="center" wrapText="1"/>
    </xf>
    <xf numFmtId="0" fontId="3" fillId="13" borderId="32" xfId="1" applyNumberFormat="1" applyFont="1" applyFill="1" applyBorder="1" applyAlignment="1" applyProtection="1">
      <alignment horizontal="center" vertical="center" wrapText="1"/>
    </xf>
    <xf numFmtId="0" fontId="3" fillId="13" borderId="39" xfId="1" applyNumberFormat="1" applyFont="1" applyFill="1" applyBorder="1" applyAlignment="1" applyProtection="1">
      <alignment horizontal="center" vertical="center" wrapText="1"/>
    </xf>
    <xf numFmtId="0" fontId="3" fillId="13" borderId="69" xfId="1" applyNumberFormat="1" applyFont="1" applyFill="1" applyBorder="1" applyAlignment="1" applyProtection="1">
      <alignment horizontal="center" vertical="center" wrapText="1"/>
    </xf>
    <xf numFmtId="166" fontId="4" fillId="13" borderId="9" xfId="1" applyNumberFormat="1" applyFont="1" applyFill="1" applyBorder="1" applyAlignment="1" applyProtection="1">
      <alignment horizontal="center" vertical="center" wrapText="1"/>
    </xf>
    <xf numFmtId="166" fontId="4" fillId="13" borderId="7" xfId="1" applyNumberFormat="1" applyFont="1" applyFill="1" applyBorder="1" applyAlignment="1" applyProtection="1">
      <alignment horizontal="center" vertical="center" wrapText="1"/>
    </xf>
    <xf numFmtId="168" fontId="4" fillId="13" borderId="7" xfId="0" applyNumberFormat="1" applyFont="1" applyFill="1" applyBorder="1" applyAlignment="1" applyProtection="1">
      <alignment horizontal="center" vertical="center" wrapText="1"/>
    </xf>
    <xf numFmtId="0" fontId="4" fillId="0" borderId="59" xfId="0" applyFont="1" applyFill="1" applyBorder="1" applyAlignment="1" applyProtection="1">
      <alignment horizontal="center" vertical="center" wrapText="1"/>
    </xf>
    <xf numFmtId="0" fontId="11" fillId="24" borderId="66" xfId="1" applyNumberFormat="1" applyFont="1" applyFill="1" applyBorder="1" applyAlignment="1" applyProtection="1">
      <alignment horizontal="center" vertical="center" wrapText="1"/>
      <protection locked="0"/>
    </xf>
    <xf numFmtId="0" fontId="11" fillId="24" borderId="7" xfId="1" applyNumberFormat="1" applyFont="1" applyFill="1" applyBorder="1" applyAlignment="1" applyProtection="1">
      <alignment horizontal="center" vertical="center" wrapText="1"/>
      <protection locked="0"/>
    </xf>
    <xf numFmtId="0" fontId="11" fillId="0" borderId="58" xfId="1" applyNumberFormat="1" applyFont="1" applyFill="1" applyBorder="1" applyAlignment="1" applyProtection="1">
      <alignment horizontal="center" vertical="center" wrapText="1"/>
    </xf>
    <xf numFmtId="43" fontId="11" fillId="13" borderId="58" xfId="1" applyFont="1" applyFill="1" applyBorder="1" applyAlignment="1" applyProtection="1">
      <alignment horizontal="right" vertical="center" wrapText="1"/>
    </xf>
    <xf numFmtId="0" fontId="5" fillId="13" borderId="59" xfId="1" applyNumberFormat="1" applyFont="1" applyFill="1" applyBorder="1" applyAlignment="1" applyProtection="1">
      <alignment horizontal="center" vertical="center" wrapText="1"/>
    </xf>
    <xf numFmtId="166" fontId="4" fillId="27" borderId="5" xfId="1" applyNumberFormat="1" applyFont="1" applyFill="1" applyBorder="1" applyAlignment="1" applyProtection="1">
      <alignment horizontal="center" vertical="center" wrapText="1"/>
    </xf>
    <xf numFmtId="0" fontId="11" fillId="28" borderId="64" xfId="1" applyNumberFormat="1" applyFont="1" applyFill="1" applyBorder="1" applyAlignment="1" applyProtection="1">
      <alignment horizontal="center" vertical="center" wrapText="1"/>
      <protection locked="0"/>
    </xf>
    <xf numFmtId="0" fontId="11" fillId="28" borderId="5" xfId="1" applyNumberFormat="1" applyFont="1" applyFill="1" applyBorder="1" applyAlignment="1" applyProtection="1">
      <alignment horizontal="center" vertical="center" wrapText="1"/>
      <protection locked="0"/>
    </xf>
    <xf numFmtId="43" fontId="11" fillId="27" borderId="55" xfId="1" applyFont="1" applyFill="1" applyBorder="1" applyAlignment="1" applyProtection="1">
      <alignment horizontal="right" vertical="center" wrapText="1"/>
    </xf>
    <xf numFmtId="0" fontId="5" fillId="27" borderId="48" xfId="1" applyNumberFormat="1" applyFont="1" applyFill="1" applyBorder="1" applyAlignment="1" applyProtection="1">
      <alignment horizontal="center" vertical="center" wrapText="1"/>
    </xf>
    <xf numFmtId="0" fontId="11" fillId="28" borderId="20" xfId="1" applyNumberFormat="1" applyFont="1" applyFill="1" applyBorder="1" applyAlignment="1" applyProtection="1">
      <alignment horizontal="center" vertical="center" wrapText="1"/>
      <protection locked="0"/>
    </xf>
    <xf numFmtId="0" fontId="11" fillId="28" borderId="1" xfId="1" applyNumberFormat="1" applyFont="1" applyFill="1" applyBorder="1" applyAlignment="1" applyProtection="1">
      <alignment horizontal="center" vertical="center" wrapText="1"/>
      <protection locked="0"/>
    </xf>
    <xf numFmtId="43" fontId="11" fillId="27" borderId="62" xfId="1" applyFont="1" applyFill="1" applyBorder="1" applyAlignment="1" applyProtection="1">
      <alignment horizontal="right" vertical="center" wrapText="1"/>
    </xf>
    <xf numFmtId="0" fontId="5" fillId="27" borderId="49" xfId="1" applyNumberFormat="1" applyFont="1" applyFill="1" applyBorder="1" applyAlignment="1" applyProtection="1">
      <alignment horizontal="center" vertical="center" wrapText="1"/>
    </xf>
    <xf numFmtId="0" fontId="0" fillId="2" borderId="20" xfId="0" applyFill="1" applyBorder="1" applyAlignment="1">
      <alignment wrapText="1"/>
    </xf>
    <xf numFmtId="0" fontId="11" fillId="28" borderId="66" xfId="1" applyNumberFormat="1" applyFont="1" applyFill="1" applyBorder="1" applyAlignment="1" applyProtection="1">
      <alignment horizontal="center" vertical="center" wrapText="1"/>
      <protection locked="0"/>
    </xf>
    <xf numFmtId="0" fontId="11" fillId="28" borderId="7" xfId="1" applyNumberFormat="1" applyFont="1" applyFill="1" applyBorder="1" applyAlignment="1" applyProtection="1">
      <alignment horizontal="center" vertical="center" wrapText="1"/>
      <protection locked="0"/>
    </xf>
    <xf numFmtId="43" fontId="11" fillId="27" borderId="58" xfId="1" applyFont="1" applyFill="1" applyBorder="1" applyAlignment="1" applyProtection="1">
      <alignment horizontal="right" vertical="center" wrapText="1"/>
    </xf>
    <xf numFmtId="0" fontId="5" fillId="27" borderId="59" xfId="1" applyNumberFormat="1" applyFont="1" applyFill="1" applyBorder="1" applyAlignment="1" applyProtection="1">
      <alignment horizontal="center" vertical="center" wrapText="1"/>
    </xf>
    <xf numFmtId="0" fontId="3" fillId="27" borderId="72" xfId="1" applyNumberFormat="1" applyFont="1" applyFill="1" applyBorder="1" applyAlignment="1" applyProtection="1">
      <alignment horizontal="center" vertical="center" wrapText="1"/>
    </xf>
    <xf numFmtId="168" fontId="4" fillId="2" borderId="5" xfId="1" applyNumberFormat="1" applyFont="1" applyFill="1" applyBorder="1" applyAlignment="1" applyProtection="1">
      <alignment horizontal="center" vertical="center" wrapText="1"/>
    </xf>
    <xf numFmtId="0" fontId="11" fillId="25" borderId="64" xfId="1" applyNumberFormat="1" applyFont="1" applyFill="1" applyBorder="1" applyAlignment="1" applyProtection="1">
      <alignment horizontal="center" vertical="center" wrapText="1"/>
      <protection locked="0"/>
    </xf>
    <xf numFmtId="0" fontId="3" fillId="27" borderId="41" xfId="1" applyNumberFormat="1" applyFont="1" applyFill="1" applyBorder="1" applyAlignment="1" applyProtection="1">
      <alignment horizontal="center" vertical="center" wrapText="1"/>
    </xf>
    <xf numFmtId="168" fontId="4" fillId="27" borderId="1" xfId="1" applyNumberFormat="1" applyFont="1" applyFill="1" applyBorder="1" applyAlignment="1" applyProtection="1">
      <alignment horizontal="center" vertical="center" wrapText="1"/>
    </xf>
    <xf numFmtId="4" fontId="3" fillId="27" borderId="7" xfId="1" applyNumberFormat="1" applyFont="1" applyFill="1" applyBorder="1" applyAlignment="1" applyProtection="1">
      <alignment horizontal="center" vertical="center" wrapText="1"/>
    </xf>
    <xf numFmtId="0" fontId="3" fillId="27" borderId="69" xfId="1" applyNumberFormat="1" applyFont="1" applyFill="1" applyBorder="1" applyAlignment="1" applyProtection="1">
      <alignment horizontal="center" vertical="center" wrapText="1"/>
    </xf>
    <xf numFmtId="166" fontId="11" fillId="27" borderId="7" xfId="1" applyNumberFormat="1" applyFont="1" applyFill="1" applyBorder="1" applyAlignment="1" applyProtection="1">
      <alignment horizontal="center" vertical="center" wrapText="1"/>
    </xf>
    <xf numFmtId="168" fontId="4" fillId="27" borderId="7" xfId="1" applyNumberFormat="1" applyFont="1" applyFill="1" applyBorder="1" applyAlignment="1" applyProtection="1">
      <alignment horizontal="center" vertical="center" wrapText="1"/>
    </xf>
    <xf numFmtId="0" fontId="11" fillId="0" borderId="30" xfId="1" applyNumberFormat="1" applyFont="1" applyFill="1" applyBorder="1" applyAlignment="1" applyProtection="1">
      <alignment horizontal="center" vertical="center" wrapText="1"/>
    </xf>
    <xf numFmtId="43" fontId="11" fillId="0" borderId="53" xfId="1" applyNumberFormat="1" applyFont="1" applyFill="1" applyBorder="1" applyAlignment="1" applyProtection="1">
      <alignment horizontal="center" vertical="center" wrapText="1"/>
      <protection locked="0"/>
    </xf>
    <xf numFmtId="0" fontId="3" fillId="29" borderId="72" xfId="1" applyNumberFormat="1" applyFont="1" applyFill="1" applyBorder="1" applyAlignment="1" applyProtection="1">
      <alignment horizontal="center" vertical="center" wrapText="1"/>
    </xf>
    <xf numFmtId="168" fontId="11" fillId="29" borderId="5" xfId="1" applyNumberFormat="1" applyFont="1" applyFill="1" applyBorder="1" applyAlignment="1" applyProtection="1">
      <alignment horizontal="center" vertical="center" wrapText="1"/>
    </xf>
    <xf numFmtId="0" fontId="11" fillId="16" borderId="64" xfId="1" applyNumberFormat="1" applyFont="1" applyFill="1" applyBorder="1" applyAlignment="1" applyProtection="1">
      <alignment horizontal="center" vertical="center" wrapText="1"/>
      <protection locked="0"/>
    </xf>
    <xf numFmtId="0" fontId="11" fillId="16" borderId="5" xfId="1" applyNumberFormat="1" applyFont="1" applyFill="1" applyBorder="1" applyAlignment="1" applyProtection="1">
      <alignment horizontal="center" vertical="center" wrapText="1"/>
      <protection locked="0"/>
    </xf>
    <xf numFmtId="43" fontId="11" fillId="29" borderId="55" xfId="1" applyFont="1" applyFill="1" applyBorder="1" applyAlignment="1" applyProtection="1">
      <alignment horizontal="right" vertical="center" wrapText="1"/>
    </xf>
    <xf numFmtId="0" fontId="5" fillId="29" borderId="48" xfId="1" applyNumberFormat="1" applyFont="1" applyFill="1" applyBorder="1" applyAlignment="1" applyProtection="1">
      <alignment horizontal="center" vertical="center" wrapText="1"/>
    </xf>
    <xf numFmtId="0" fontId="3" fillId="29" borderId="41" xfId="1" applyNumberFormat="1" applyFont="1" applyFill="1" applyBorder="1" applyAlignment="1" applyProtection="1">
      <alignment horizontal="center" vertical="center" wrapText="1"/>
    </xf>
    <xf numFmtId="168" fontId="3" fillId="29" borderId="1" xfId="1" applyNumberFormat="1" applyFont="1" applyFill="1" applyBorder="1" applyAlignment="1" applyProtection="1">
      <alignment horizontal="center" vertical="center" wrapText="1"/>
    </xf>
    <xf numFmtId="0" fontId="11" fillId="31" borderId="20" xfId="1" applyNumberFormat="1" applyFont="1" applyFill="1" applyBorder="1" applyAlignment="1" applyProtection="1">
      <alignment horizontal="center" vertical="center" wrapText="1"/>
      <protection locked="0"/>
    </xf>
    <xf numFmtId="0" fontId="11" fillId="31" borderId="2" xfId="1" applyNumberFormat="1" applyFont="1" applyFill="1" applyBorder="1" applyAlignment="1" applyProtection="1">
      <alignment horizontal="center" vertical="center" wrapText="1"/>
      <protection locked="0"/>
    </xf>
    <xf numFmtId="0" fontId="11" fillId="16" borderId="1" xfId="1" applyNumberFormat="1" applyFont="1" applyFill="1" applyBorder="1" applyAlignment="1" applyProtection="1">
      <alignment horizontal="center" vertical="center" wrapText="1"/>
      <protection locked="0"/>
    </xf>
    <xf numFmtId="0" fontId="11" fillId="16" borderId="3" xfId="1" applyNumberFormat="1" applyFont="1" applyFill="1" applyBorder="1" applyAlignment="1" applyProtection="1">
      <alignment horizontal="center" vertical="center" wrapText="1"/>
    </xf>
    <xf numFmtId="0" fontId="11" fillId="0" borderId="62" xfId="1" applyNumberFormat="1" applyFont="1" applyFill="1" applyBorder="1" applyAlignment="1" applyProtection="1">
      <alignment horizontal="center" vertical="center" wrapText="1"/>
    </xf>
    <xf numFmtId="0" fontId="11" fillId="0" borderId="1" xfId="1" applyNumberFormat="1" applyFont="1" applyFill="1" applyBorder="1" applyAlignment="1" applyProtection="1">
      <alignment horizontal="center" vertical="center" wrapText="1"/>
    </xf>
    <xf numFmtId="0" fontId="11" fillId="0" borderId="19" xfId="1" applyNumberFormat="1" applyFont="1" applyFill="1" applyBorder="1" applyAlignment="1" applyProtection="1">
      <alignment horizontal="center" vertical="center" wrapText="1"/>
    </xf>
    <xf numFmtId="43" fontId="11" fillId="29" borderId="62" xfId="1" applyFont="1" applyFill="1" applyBorder="1" applyAlignment="1" applyProtection="1">
      <alignment horizontal="right" vertical="center" wrapText="1"/>
    </xf>
    <xf numFmtId="0" fontId="5" fillId="29" borderId="49" xfId="1" applyNumberFormat="1" applyFont="1" applyFill="1" applyBorder="1" applyAlignment="1" applyProtection="1">
      <alignment horizontal="center" vertical="center" wrapText="1"/>
    </xf>
    <xf numFmtId="4" fontId="3" fillId="29" borderId="7" xfId="1" applyNumberFormat="1" applyFont="1" applyFill="1" applyBorder="1" applyAlignment="1" applyProtection="1">
      <alignment horizontal="center" vertical="center" wrapText="1"/>
    </xf>
    <xf numFmtId="0" fontId="3" fillId="29" borderId="69" xfId="1" applyNumberFormat="1" applyFont="1" applyFill="1" applyBorder="1" applyAlignment="1" applyProtection="1">
      <alignment horizontal="center" vertical="center" wrapText="1"/>
    </xf>
    <xf numFmtId="0" fontId="3" fillId="0" borderId="59" xfId="1" applyNumberFormat="1" applyFont="1" applyFill="1" applyBorder="1" applyAlignment="1" applyProtection="1">
      <alignment horizontal="center" vertical="center" wrapText="1"/>
      <protection locked="0"/>
    </xf>
    <xf numFmtId="0" fontId="11" fillId="16" borderId="66" xfId="1" applyNumberFormat="1" applyFont="1" applyFill="1" applyBorder="1" applyAlignment="1" applyProtection="1">
      <alignment horizontal="center" vertical="center" wrapText="1"/>
      <protection locked="0"/>
    </xf>
    <xf numFmtId="0" fontId="11" fillId="16" borderId="7" xfId="1" applyNumberFormat="1" applyFont="1" applyFill="1" applyBorder="1" applyAlignment="1" applyProtection="1">
      <alignment horizontal="center" vertical="center" wrapText="1"/>
      <protection locked="0"/>
    </xf>
    <xf numFmtId="0" fontId="11" fillId="0" borderId="12" xfId="1" applyNumberFormat="1" applyFont="1" applyFill="1" applyBorder="1" applyAlignment="1" applyProtection="1">
      <alignment horizontal="center" vertical="center" wrapText="1"/>
    </xf>
    <xf numFmtId="0" fontId="11" fillId="0" borderId="32" xfId="1" applyNumberFormat="1" applyFont="1" applyFill="1" applyBorder="1" applyAlignment="1" applyProtection="1">
      <alignment horizontal="center" vertical="center" wrapText="1"/>
    </xf>
    <xf numFmtId="0" fontId="11" fillId="0" borderId="13" xfId="1" applyNumberFormat="1" applyFont="1" applyFill="1" applyBorder="1" applyAlignment="1" applyProtection="1">
      <alignment horizontal="center" vertical="center" wrapText="1"/>
    </xf>
    <xf numFmtId="43" fontId="11" fillId="29" borderId="58" xfId="1" applyFont="1" applyFill="1" applyBorder="1" applyAlignment="1" applyProtection="1">
      <alignment horizontal="right" vertical="center" wrapText="1"/>
    </xf>
    <xf numFmtId="0" fontId="5" fillId="29" borderId="59" xfId="1" applyNumberFormat="1" applyFont="1" applyFill="1" applyBorder="1" applyAlignment="1" applyProtection="1">
      <alignment horizontal="center" vertical="center" wrapText="1"/>
    </xf>
    <xf numFmtId="0" fontId="3" fillId="14" borderId="72" xfId="1" applyNumberFormat="1" applyFont="1" applyFill="1" applyBorder="1" applyAlignment="1" applyProtection="1">
      <alignment horizontal="center" vertical="center" wrapText="1"/>
    </xf>
    <xf numFmtId="166" fontId="11" fillId="14" borderId="4" xfId="1" applyNumberFormat="1" applyFont="1" applyFill="1" applyBorder="1" applyAlignment="1">
      <alignment horizontal="center" vertical="center" wrapText="1"/>
    </xf>
    <xf numFmtId="166" fontId="11" fillId="2" borderId="5" xfId="1" applyNumberFormat="1" applyFont="1" applyFill="1" applyBorder="1" applyAlignment="1">
      <alignment horizontal="center" vertical="center" wrapText="1"/>
    </xf>
    <xf numFmtId="168" fontId="3" fillId="14" borderId="5" xfId="1" applyNumberFormat="1" applyFont="1" applyFill="1" applyBorder="1" applyAlignment="1" applyProtection="1">
      <alignment horizontal="center" vertical="center" wrapText="1"/>
    </xf>
    <xf numFmtId="0" fontId="3" fillId="0" borderId="48" xfId="1" applyNumberFormat="1" applyFont="1" applyFill="1" applyBorder="1" applyAlignment="1" applyProtection="1">
      <alignment horizontal="center" vertical="center" wrapText="1"/>
      <protection locked="0"/>
    </xf>
    <xf numFmtId="0" fontId="11" fillId="24" borderId="6" xfId="1" applyNumberFormat="1" applyFont="1" applyFill="1" applyBorder="1" applyAlignment="1" applyProtection="1">
      <alignment horizontal="center" vertical="center" wrapText="1"/>
    </xf>
    <xf numFmtId="43" fontId="18" fillId="14" borderId="55" xfId="0" applyNumberFormat="1" applyFont="1" applyFill="1" applyBorder="1" applyAlignment="1" applyProtection="1">
      <alignment horizontal="right" vertical="center" wrapText="1"/>
    </xf>
    <xf numFmtId="0" fontId="18" fillId="14" borderId="48" xfId="0" applyNumberFormat="1" applyFont="1" applyFill="1" applyBorder="1" applyAlignment="1" applyProtection="1">
      <alignment horizontal="center" vertical="center" wrapText="1"/>
    </xf>
    <xf numFmtId="4" fontId="3" fillId="14" borderId="7" xfId="1" applyNumberFormat="1" applyFont="1" applyFill="1" applyBorder="1" applyAlignment="1" applyProtection="1">
      <alignment horizontal="center" vertical="center" wrapText="1"/>
    </xf>
    <xf numFmtId="0" fontId="3" fillId="14" borderId="69" xfId="1" applyNumberFormat="1" applyFont="1" applyFill="1" applyBorder="1" applyAlignment="1" applyProtection="1">
      <alignment horizontal="center" vertical="center" wrapText="1"/>
    </xf>
    <xf numFmtId="166" fontId="11" fillId="14" borderId="9" xfId="1" applyNumberFormat="1" applyFont="1" applyFill="1" applyBorder="1" applyAlignment="1">
      <alignment horizontal="center" vertical="center" wrapText="1"/>
    </xf>
    <xf numFmtId="166" fontId="11" fillId="14" borderId="7" xfId="1" applyNumberFormat="1" applyFont="1" applyFill="1" applyBorder="1" applyAlignment="1">
      <alignment horizontal="center" vertical="center" wrapText="1"/>
    </xf>
    <xf numFmtId="168" fontId="4" fillId="14" borderId="7" xfId="1" applyNumberFormat="1" applyFont="1" applyFill="1" applyBorder="1" applyAlignment="1">
      <alignment horizontal="center" vertical="center" wrapText="1"/>
    </xf>
    <xf numFmtId="166" fontId="3" fillId="14" borderId="32" xfId="1" applyNumberFormat="1" applyFont="1" applyFill="1" applyBorder="1" applyAlignment="1">
      <alignment horizontal="center" vertical="center" wrapText="1"/>
    </xf>
    <xf numFmtId="0" fontId="11" fillId="24" borderId="8" xfId="1" applyNumberFormat="1" applyFont="1" applyFill="1" applyBorder="1" applyAlignment="1" applyProtection="1">
      <alignment horizontal="center" vertical="center" wrapText="1"/>
    </xf>
    <xf numFmtId="43" fontId="18" fillId="14" borderId="58" xfId="0" applyNumberFormat="1" applyFont="1" applyFill="1" applyBorder="1" applyAlignment="1" applyProtection="1">
      <alignment horizontal="right" vertical="center" wrapText="1"/>
    </xf>
    <xf numFmtId="0" fontId="18" fillId="14" borderId="59" xfId="0" applyNumberFormat="1" applyFont="1" applyFill="1" applyBorder="1" applyAlignment="1" applyProtection="1">
      <alignment horizontal="center" vertical="center" wrapText="1"/>
    </xf>
    <xf numFmtId="0" fontId="0" fillId="0" borderId="0" xfId="0" applyAlignment="1">
      <alignment horizontal="center"/>
    </xf>
    <xf numFmtId="168" fontId="0" fillId="0" borderId="0" xfId="0" applyNumberFormat="1"/>
    <xf numFmtId="0" fontId="0" fillId="0" borderId="0" xfId="0" applyFont="1" applyAlignment="1">
      <alignment horizontal="center"/>
    </xf>
    <xf numFmtId="0" fontId="22" fillId="0" borderId="48" xfId="0" applyFont="1" applyBorder="1" applyAlignment="1">
      <alignment horizontal="center" wrapText="1"/>
    </xf>
    <xf numFmtId="0" fontId="22" fillId="0" borderId="72" xfId="0" applyFont="1" applyBorder="1" applyAlignment="1">
      <alignment horizontal="center" wrapText="1"/>
    </xf>
    <xf numFmtId="0" fontId="22" fillId="0" borderId="49" xfId="0" applyFont="1" applyBorder="1" applyAlignment="1">
      <alignment horizontal="center" wrapText="1"/>
    </xf>
    <xf numFmtId="4" fontId="22" fillId="0" borderId="41" xfId="0" applyNumberFormat="1" applyFont="1" applyBorder="1" applyAlignment="1">
      <alignment horizontal="center" wrapText="1"/>
    </xf>
    <xf numFmtId="0" fontId="22" fillId="0" borderId="41" xfId="0" applyFont="1" applyBorder="1" applyAlignment="1">
      <alignment horizontal="center" wrapText="1"/>
    </xf>
    <xf numFmtId="0" fontId="22" fillId="25" borderId="41" xfId="0" applyFont="1" applyFill="1" applyBorder="1" applyAlignment="1">
      <alignment horizontal="center" wrapText="1"/>
    </xf>
    <xf numFmtId="0" fontId="22" fillId="32" borderId="41" xfId="0" applyFont="1" applyFill="1" applyBorder="1" applyAlignment="1">
      <alignment horizontal="center" wrapText="1"/>
    </xf>
    <xf numFmtId="0" fontId="22" fillId="10" borderId="41" xfId="0" applyFont="1" applyFill="1" applyBorder="1" applyAlignment="1">
      <alignment horizontal="center" wrapText="1"/>
    </xf>
    <xf numFmtId="0" fontId="22" fillId="0" borderId="59" xfId="0" applyFont="1" applyBorder="1" applyAlignment="1">
      <alignment horizontal="center" wrapText="1"/>
    </xf>
    <xf numFmtId="0" fontId="22" fillId="0" borderId="69" xfId="0" applyFont="1" applyBorder="1" applyAlignment="1">
      <alignment horizontal="center" wrapText="1"/>
    </xf>
    <xf numFmtId="0" fontId="23" fillId="0" borderId="45" xfId="0" applyFont="1" applyBorder="1" applyAlignment="1">
      <alignment horizontal="center" vertical="center" wrapText="1"/>
    </xf>
    <xf numFmtId="0" fontId="23" fillId="0" borderId="15" xfId="0" applyFont="1" applyBorder="1" applyAlignment="1">
      <alignment horizontal="center" vertical="center" wrapText="1"/>
    </xf>
    <xf numFmtId="0" fontId="22" fillId="0" borderId="52" xfId="0" applyFont="1" applyBorder="1" applyAlignment="1">
      <alignment horizontal="center" vertical="center" wrapText="1"/>
    </xf>
    <xf numFmtId="0" fontId="22" fillId="10" borderId="73" xfId="0" applyFont="1" applyFill="1" applyBorder="1" applyAlignment="1">
      <alignment horizontal="center" vertical="center" wrapText="1"/>
    </xf>
    <xf numFmtId="0" fontId="22" fillId="0" borderId="49" xfId="0" applyFont="1" applyBorder="1" applyAlignment="1">
      <alignment horizontal="center" vertical="center" wrapText="1"/>
    </xf>
    <xf numFmtId="0" fontId="22" fillId="10" borderId="41" xfId="0" applyFont="1" applyFill="1" applyBorder="1" applyAlignment="1">
      <alignment horizontal="center" vertical="center" wrapText="1"/>
    </xf>
    <xf numFmtId="0" fontId="22" fillId="2" borderId="41" xfId="0" applyFont="1" applyFill="1" applyBorder="1" applyAlignment="1">
      <alignment horizontal="center" vertical="center" wrapText="1"/>
    </xf>
    <xf numFmtId="0" fontId="22" fillId="16" borderId="41" xfId="0" applyFont="1" applyFill="1" applyBorder="1" applyAlignment="1">
      <alignment horizontal="center" vertical="center" wrapText="1"/>
    </xf>
    <xf numFmtId="0" fontId="22" fillId="0" borderId="59" xfId="0" applyFont="1" applyBorder="1" applyAlignment="1">
      <alignment horizontal="center" vertical="center" wrapText="1"/>
    </xf>
    <xf numFmtId="0" fontId="22" fillId="16" borderId="69" xfId="0" applyFont="1" applyFill="1" applyBorder="1" applyAlignment="1">
      <alignment horizontal="center" vertical="center" wrapText="1"/>
    </xf>
    <xf numFmtId="0" fontId="23" fillId="0" borderId="51" xfId="0" applyFont="1" applyFill="1" applyBorder="1" applyAlignment="1">
      <alignment horizontal="center" vertical="center" wrapText="1"/>
    </xf>
    <xf numFmtId="0" fontId="23" fillId="0" borderId="69" xfId="0" applyFont="1" applyFill="1" applyBorder="1" applyAlignment="1">
      <alignment horizontal="center" vertical="center" wrapText="1"/>
    </xf>
    <xf numFmtId="0" fontId="16" fillId="4" borderId="27" xfId="0" applyFont="1" applyFill="1" applyBorder="1" applyAlignment="1">
      <alignment horizontal="center" vertical="center"/>
    </xf>
    <xf numFmtId="165" fontId="16" fillId="0" borderId="51" xfId="1" applyNumberFormat="1" applyFont="1" applyFill="1" applyBorder="1" applyAlignment="1">
      <alignment horizontal="center" vertical="center"/>
    </xf>
    <xf numFmtId="0" fontId="11" fillId="0" borderId="0" xfId="0" applyFont="1" applyBorder="1" applyAlignment="1">
      <alignment horizontal="center" vertical="center"/>
    </xf>
    <xf numFmtId="0" fontId="16" fillId="0" borderId="26" xfId="0"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vertical="center"/>
    </xf>
    <xf numFmtId="0" fontId="5" fillId="10" borderId="20" xfId="0" applyFont="1" applyFill="1" applyBorder="1" applyAlignment="1" applyProtection="1">
      <alignment horizontal="center" vertical="center" wrapText="1"/>
    </xf>
    <xf numFmtId="0" fontId="5" fillId="21" borderId="20" xfId="0" applyFont="1" applyFill="1" applyBorder="1" applyAlignment="1" applyProtection="1">
      <alignment horizontal="center" vertical="center" wrapText="1"/>
    </xf>
    <xf numFmtId="0" fontId="11" fillId="22" borderId="5" xfId="1" applyNumberFormat="1" applyFont="1" applyFill="1" applyBorder="1" applyAlignment="1" applyProtection="1">
      <alignment horizontal="center" vertical="center" wrapText="1"/>
    </xf>
    <xf numFmtId="0" fontId="11" fillId="22" borderId="1" xfId="1" applyNumberFormat="1" applyFont="1" applyFill="1" applyBorder="1" applyAlignment="1" applyProtection="1">
      <alignment horizontal="center" vertical="center" wrapText="1"/>
    </xf>
    <xf numFmtId="43" fontId="11" fillId="18" borderId="1" xfId="1" applyNumberFormat="1" applyFont="1" applyFill="1" applyBorder="1" applyAlignment="1" applyProtection="1">
      <alignment horizontal="center" vertical="center" wrapText="1"/>
      <protection locked="0"/>
    </xf>
    <xf numFmtId="167" fontId="11" fillId="22" borderId="3" xfId="1" applyNumberFormat="1" applyFont="1" applyFill="1" applyBorder="1" applyAlignment="1">
      <alignment horizontal="center" vertical="center" wrapText="1"/>
    </xf>
    <xf numFmtId="43" fontId="11" fillId="12" borderId="11" xfId="1" applyNumberFormat="1" applyFont="1" applyFill="1" applyBorder="1" applyAlignment="1" applyProtection="1">
      <alignment horizontal="center" vertical="center" wrapText="1"/>
      <protection locked="0"/>
    </xf>
    <xf numFmtId="43" fontId="11" fillId="12" borderId="1" xfId="1" applyNumberFormat="1" applyFont="1" applyFill="1" applyBorder="1" applyAlignment="1" applyProtection="1">
      <alignment horizontal="center" vertical="center" wrapText="1"/>
      <protection locked="0"/>
    </xf>
    <xf numFmtId="0" fontId="11" fillId="10" borderId="4" xfId="1" applyNumberFormat="1" applyFont="1" applyFill="1" applyBorder="1" applyAlignment="1" applyProtection="1">
      <alignment horizontal="center" vertical="center" wrapText="1"/>
    </xf>
    <xf numFmtId="0" fontId="11" fillId="10" borderId="5" xfId="1" applyNumberFormat="1" applyFont="1" applyFill="1" applyBorder="1" applyAlignment="1" applyProtection="1">
      <alignment horizontal="center" vertical="center" wrapText="1"/>
    </xf>
    <xf numFmtId="0" fontId="11" fillId="10" borderId="6" xfId="1" applyNumberFormat="1" applyFont="1" applyFill="1" applyBorder="1" applyAlignment="1" applyProtection="1">
      <alignment horizontal="center" vertical="center" wrapText="1"/>
    </xf>
    <xf numFmtId="0" fontId="11" fillId="10" borderId="3" xfId="1" applyNumberFormat="1" applyFont="1" applyFill="1" applyBorder="1" applyAlignment="1" applyProtection="1">
      <alignment horizontal="center" vertical="center" wrapText="1"/>
    </xf>
    <xf numFmtId="43" fontId="11" fillId="17" borderId="1" xfId="1" applyNumberFormat="1" applyFont="1" applyFill="1" applyBorder="1" applyAlignment="1" applyProtection="1">
      <alignment horizontal="center" vertical="center" wrapText="1"/>
      <protection locked="0"/>
    </xf>
    <xf numFmtId="167" fontId="11" fillId="11" borderId="3" xfId="1" applyNumberFormat="1" applyFont="1" applyFill="1" applyBorder="1" applyAlignment="1">
      <alignment horizontal="center" vertical="center" wrapText="1"/>
    </xf>
    <xf numFmtId="0" fontId="11" fillId="21" borderId="1" xfId="1" applyNumberFormat="1" applyFont="1" applyFill="1" applyBorder="1" applyAlignment="1" applyProtection="1">
      <alignment horizontal="center" vertical="center" wrapText="1"/>
    </xf>
    <xf numFmtId="0" fontId="11" fillId="21" borderId="3" xfId="1" applyNumberFormat="1" applyFont="1" applyFill="1" applyBorder="1" applyAlignment="1" applyProtection="1">
      <alignment horizontal="center" vertical="center" wrapText="1"/>
    </xf>
    <xf numFmtId="167" fontId="11" fillId="21" borderId="3" xfId="1" applyNumberFormat="1" applyFont="1" applyFill="1" applyBorder="1" applyAlignment="1" applyProtection="1">
      <alignment horizontal="center" vertical="center" wrapText="1"/>
    </xf>
    <xf numFmtId="0" fontId="11" fillId="27" borderId="3" xfId="1" applyNumberFormat="1" applyFont="1" applyFill="1" applyBorder="1" applyAlignment="1" applyProtection="1">
      <alignment horizontal="center" vertical="center" wrapText="1"/>
    </xf>
    <xf numFmtId="43" fontId="11" fillId="28" borderId="1" xfId="1" applyNumberFormat="1" applyFont="1" applyFill="1" applyBorder="1" applyAlignment="1" applyProtection="1">
      <alignment horizontal="center" vertical="center" wrapText="1"/>
      <protection locked="0"/>
    </xf>
    <xf numFmtId="43" fontId="11" fillId="18" borderId="11" xfId="1" applyNumberFormat="1" applyFont="1" applyFill="1" applyBorder="1" applyAlignment="1" applyProtection="1">
      <alignment horizontal="center" vertical="center" wrapText="1"/>
      <protection locked="0"/>
    </xf>
    <xf numFmtId="43" fontId="11" fillId="28" borderId="10" xfId="1" applyNumberFormat="1" applyFont="1" applyFill="1" applyBorder="1" applyAlignment="1" applyProtection="1">
      <alignment horizontal="center" vertical="center" wrapText="1"/>
      <protection locked="0"/>
    </xf>
    <xf numFmtId="0" fontId="11" fillId="0" borderId="0" xfId="0" applyFont="1" applyBorder="1" applyAlignment="1">
      <alignment horizontal="center" vertical="center"/>
    </xf>
    <xf numFmtId="0" fontId="11" fillId="11" borderId="30" xfId="1" applyNumberFormat="1" applyFont="1" applyFill="1" applyBorder="1" applyAlignment="1" applyProtection="1">
      <alignment horizontal="center" vertical="center" wrapText="1"/>
    </xf>
    <xf numFmtId="0" fontId="11" fillId="11" borderId="10" xfId="1" applyNumberFormat="1" applyFont="1" applyFill="1" applyBorder="1" applyAlignment="1" applyProtection="1">
      <alignment horizontal="center" vertical="center" wrapText="1"/>
    </xf>
    <xf numFmtId="0" fontId="11" fillId="11" borderId="43" xfId="1" applyNumberFormat="1" applyFont="1" applyFill="1" applyBorder="1" applyAlignment="1" applyProtection="1">
      <alignment horizontal="center" vertical="center" wrapText="1"/>
    </xf>
    <xf numFmtId="0" fontId="11" fillId="0" borderId="0" xfId="0" applyFont="1" applyBorder="1" applyAlignment="1">
      <alignment horizontal="center" vertical="center"/>
    </xf>
    <xf numFmtId="0" fontId="11" fillId="11" borderId="11" xfId="1" applyNumberFormat="1" applyFont="1" applyFill="1" applyBorder="1" applyAlignment="1" applyProtection="1">
      <alignment horizontal="center" vertical="center" wrapText="1"/>
    </xf>
    <xf numFmtId="0" fontId="5" fillId="11" borderId="11" xfId="0" applyFont="1" applyFill="1" applyBorder="1" applyAlignment="1" applyProtection="1">
      <alignment horizontal="center" vertical="center" wrapText="1"/>
    </xf>
    <xf numFmtId="43" fontId="11" fillId="17" borderId="11" xfId="1" applyNumberFormat="1" applyFont="1" applyFill="1" applyBorder="1" applyAlignment="1" applyProtection="1">
      <alignment horizontal="center" vertical="center" wrapText="1"/>
      <protection locked="0"/>
    </xf>
    <xf numFmtId="167" fontId="11" fillId="11" borderId="29" xfId="1" applyNumberFormat="1" applyFont="1" applyFill="1" applyBorder="1" applyAlignment="1">
      <alignment horizontal="center" vertical="center" wrapText="1"/>
    </xf>
    <xf numFmtId="43" fontId="11" fillId="12" borderId="10" xfId="1" applyNumberFormat="1" applyFont="1" applyFill="1" applyBorder="1" applyAlignment="1" applyProtection="1">
      <alignment horizontal="center" vertical="center" wrapText="1"/>
      <protection locked="0"/>
    </xf>
    <xf numFmtId="0" fontId="5" fillId="12" borderId="10" xfId="0" applyFont="1" applyFill="1" applyBorder="1" applyAlignment="1" applyProtection="1">
      <alignment horizontal="center" vertical="center" wrapText="1"/>
    </xf>
    <xf numFmtId="166" fontId="4" fillId="25" borderId="30" xfId="1" applyNumberFormat="1" applyFont="1" applyFill="1" applyBorder="1" applyAlignment="1" applyProtection="1">
      <alignment horizontal="center" vertical="center" wrapText="1"/>
    </xf>
    <xf numFmtId="43" fontId="11" fillId="19" borderId="10" xfId="1" applyNumberFormat="1" applyFont="1" applyFill="1" applyBorder="1" applyAlignment="1" applyProtection="1">
      <alignment horizontal="center" vertical="center" wrapText="1"/>
      <protection locked="0"/>
    </xf>
    <xf numFmtId="167" fontId="11" fillId="12" borderId="43" xfId="1" applyNumberFormat="1" applyFont="1" applyFill="1" applyBorder="1" applyAlignment="1">
      <alignment horizontal="center" vertical="center" wrapText="1"/>
    </xf>
    <xf numFmtId="0" fontId="11" fillId="21" borderId="28" xfId="1" applyNumberFormat="1" applyFont="1" applyFill="1" applyBorder="1" applyAlignment="1" applyProtection="1">
      <alignment horizontal="center" vertical="center" wrapText="1"/>
    </xf>
    <xf numFmtId="167" fontId="11" fillId="22" borderId="29" xfId="1" applyNumberFormat="1" applyFont="1" applyFill="1" applyBorder="1" applyAlignment="1">
      <alignment horizontal="center" vertical="center" wrapText="1"/>
    </xf>
    <xf numFmtId="43" fontId="11" fillId="12" borderId="5" xfId="1" applyNumberFormat="1" applyFont="1" applyFill="1" applyBorder="1" applyAlignment="1" applyProtection="1">
      <alignment horizontal="center" vertical="center" wrapText="1"/>
      <protection locked="0"/>
    </xf>
    <xf numFmtId="0" fontId="11" fillId="11" borderId="3" xfId="1" applyNumberFormat="1" applyFont="1" applyFill="1" applyBorder="1" applyAlignment="1" applyProtection="1">
      <alignment horizontal="center" vertical="center" wrapText="1"/>
    </xf>
    <xf numFmtId="0" fontId="11" fillId="11" borderId="2" xfId="1" applyNumberFormat="1" applyFont="1" applyFill="1" applyBorder="1" applyAlignment="1" applyProtection="1">
      <alignment horizontal="center" vertical="center" wrapText="1"/>
    </xf>
    <xf numFmtId="0" fontId="11" fillId="22" borderId="11" xfId="1" applyNumberFormat="1" applyFont="1" applyFill="1" applyBorder="1" applyAlignment="1" applyProtection="1">
      <alignment horizontal="center" vertical="center" wrapText="1"/>
    </xf>
    <xf numFmtId="166" fontId="11" fillId="19" borderId="2" xfId="1" applyNumberFormat="1" applyFont="1" applyFill="1" applyBorder="1" applyAlignment="1" applyProtection="1">
      <alignment horizontal="center" vertical="center" wrapText="1"/>
    </xf>
    <xf numFmtId="0" fontId="5" fillId="10" borderId="1" xfId="1" applyNumberFormat="1" applyFont="1" applyFill="1" applyBorder="1" applyAlignment="1" applyProtection="1">
      <alignment horizontal="center" vertical="center" wrapText="1"/>
    </xf>
    <xf numFmtId="0" fontId="11" fillId="11" borderId="28" xfId="1" applyNumberFormat="1" applyFont="1" applyFill="1" applyBorder="1" applyAlignment="1" applyProtection="1">
      <alignment horizontal="center" vertical="center" wrapText="1"/>
    </xf>
    <xf numFmtId="0" fontId="11" fillId="11" borderId="29" xfId="1" applyNumberFormat="1" applyFont="1" applyFill="1" applyBorder="1" applyAlignment="1" applyProtection="1">
      <alignment horizontal="center" vertical="center" wrapText="1"/>
    </xf>
    <xf numFmtId="167" fontId="11" fillId="11" borderId="71" xfId="1" applyNumberFormat="1" applyFont="1" applyFill="1" applyBorder="1" applyAlignment="1" applyProtection="1">
      <alignment horizontal="center" vertical="center" wrapText="1"/>
    </xf>
    <xf numFmtId="0" fontId="5" fillId="12" borderId="11" xfId="0" applyFont="1" applyFill="1" applyBorder="1" applyAlignment="1" applyProtection="1">
      <alignment horizontal="center" vertical="center" wrapText="1"/>
    </xf>
    <xf numFmtId="43" fontId="11" fillId="19" borderId="11" xfId="1" applyNumberFormat="1" applyFont="1" applyFill="1" applyBorder="1" applyAlignment="1" applyProtection="1">
      <alignment horizontal="center" vertical="center" wrapText="1"/>
      <protection locked="0"/>
    </xf>
    <xf numFmtId="167" fontId="11" fillId="12" borderId="29" xfId="1" applyNumberFormat="1" applyFont="1" applyFill="1" applyBorder="1" applyAlignment="1">
      <alignment horizontal="center" vertical="center" wrapText="1"/>
    </xf>
    <xf numFmtId="167" fontId="11" fillId="27" borderId="3" xfId="1" applyNumberFormat="1" applyFont="1" applyFill="1" applyBorder="1" applyAlignment="1" applyProtection="1">
      <alignment horizontal="center" vertical="center" wrapText="1"/>
    </xf>
    <xf numFmtId="167" fontId="11" fillId="27" borderId="43" xfId="1" applyNumberFormat="1" applyFont="1" applyFill="1" applyBorder="1" applyAlignment="1" applyProtection="1">
      <alignment horizontal="center" vertical="center" wrapText="1"/>
    </xf>
    <xf numFmtId="167" fontId="11" fillId="0" borderId="1" xfId="0" applyNumberFormat="1" applyFont="1" applyBorder="1" applyAlignment="1">
      <alignment horizontal="center" vertical="center"/>
    </xf>
    <xf numFmtId="43" fontId="11" fillId="0" borderId="11" xfId="0" applyNumberFormat="1" applyFont="1" applyFill="1" applyBorder="1" applyAlignment="1">
      <alignment horizontal="center" vertical="center"/>
    </xf>
    <xf numFmtId="0" fontId="11" fillId="10" borderId="37" xfId="1" applyNumberFormat="1" applyFont="1" applyFill="1" applyBorder="1" applyAlignment="1" applyProtection="1">
      <alignment horizontal="center" vertical="center" wrapText="1"/>
    </xf>
    <xf numFmtId="0" fontId="11" fillId="10" borderId="39" xfId="1" applyNumberFormat="1" applyFont="1" applyFill="1" applyBorder="1" applyAlignment="1" applyProtection="1">
      <alignment horizontal="center" vertical="center" wrapText="1"/>
    </xf>
    <xf numFmtId="0" fontId="5" fillId="10" borderId="47" xfId="0" applyFont="1" applyFill="1" applyBorder="1" applyAlignment="1" applyProtection="1">
      <alignment horizontal="center" vertical="center" wrapText="1"/>
    </xf>
    <xf numFmtId="43" fontId="11" fillId="12" borderId="32" xfId="1" applyNumberFormat="1" applyFont="1" applyFill="1" applyBorder="1" applyAlignment="1" applyProtection="1">
      <alignment horizontal="center" vertical="center" wrapText="1"/>
      <protection locked="0"/>
    </xf>
    <xf numFmtId="0" fontId="5" fillId="11" borderId="28" xfId="0" applyFont="1" applyFill="1" applyBorder="1" applyAlignment="1" applyProtection="1">
      <alignment horizontal="center" vertical="center" wrapText="1"/>
    </xf>
    <xf numFmtId="43" fontId="11" fillId="18" borderId="5" xfId="1" applyNumberFormat="1" applyFont="1" applyFill="1" applyBorder="1" applyAlignment="1" applyProtection="1">
      <alignment horizontal="center" vertical="center" wrapText="1"/>
      <protection locked="0"/>
    </xf>
    <xf numFmtId="43" fontId="11" fillId="18" borderId="6" xfId="1" applyNumberFormat="1" applyFont="1" applyFill="1" applyBorder="1" applyAlignment="1" applyProtection="1">
      <alignment horizontal="center" vertical="center" wrapText="1"/>
      <protection locked="0"/>
    </xf>
    <xf numFmtId="43" fontId="11" fillId="18" borderId="3" xfId="1" applyNumberFormat="1" applyFont="1" applyFill="1" applyBorder="1" applyAlignment="1" applyProtection="1">
      <alignment horizontal="center" vertical="center" wrapText="1"/>
      <protection locked="0"/>
    </xf>
    <xf numFmtId="43" fontId="11" fillId="18" borderId="29" xfId="1" applyNumberFormat="1" applyFont="1" applyFill="1" applyBorder="1" applyAlignment="1" applyProtection="1">
      <alignment horizontal="center" vertical="center" wrapText="1"/>
      <protection locked="0"/>
    </xf>
    <xf numFmtId="43" fontId="11" fillId="12" borderId="6" xfId="1" applyNumberFormat="1" applyFont="1" applyFill="1" applyBorder="1" applyAlignment="1" applyProtection="1">
      <alignment horizontal="center" vertical="center" wrapText="1"/>
      <protection locked="0"/>
    </xf>
    <xf numFmtId="43" fontId="11" fillId="12" borderId="29" xfId="1" applyNumberFormat="1" applyFont="1" applyFill="1" applyBorder="1" applyAlignment="1" applyProtection="1">
      <alignment horizontal="center" vertical="center" wrapText="1"/>
      <protection locked="0"/>
    </xf>
    <xf numFmtId="43" fontId="11" fillId="12" borderId="3" xfId="1" applyNumberFormat="1" applyFont="1" applyFill="1" applyBorder="1" applyAlignment="1" applyProtection="1">
      <alignment horizontal="center" vertical="center" wrapText="1"/>
      <protection locked="0"/>
    </xf>
    <xf numFmtId="43" fontId="11" fillId="12" borderId="39" xfId="1" applyNumberFormat="1" applyFont="1" applyFill="1" applyBorder="1" applyAlignment="1" applyProtection="1">
      <alignment horizontal="center" vertical="center" wrapText="1"/>
      <protection locked="0"/>
    </xf>
    <xf numFmtId="43" fontId="11" fillId="17" borderId="3" xfId="1" applyNumberFormat="1" applyFont="1" applyFill="1" applyBorder="1" applyAlignment="1" applyProtection="1">
      <alignment horizontal="center" vertical="center" wrapText="1"/>
      <protection locked="0"/>
    </xf>
    <xf numFmtId="43" fontId="11" fillId="17" borderId="29" xfId="1" applyNumberFormat="1" applyFont="1" applyFill="1" applyBorder="1" applyAlignment="1" applyProtection="1">
      <alignment horizontal="center" vertical="center" wrapText="1"/>
      <protection locked="0"/>
    </xf>
    <xf numFmtId="43" fontId="11" fillId="19" borderId="29" xfId="1" applyNumberFormat="1" applyFont="1" applyFill="1" applyBorder="1" applyAlignment="1" applyProtection="1">
      <alignment horizontal="center" vertical="center" wrapText="1"/>
      <protection locked="0"/>
    </xf>
    <xf numFmtId="43" fontId="11" fillId="19" borderId="43" xfId="1" applyNumberFormat="1" applyFont="1" applyFill="1" applyBorder="1" applyAlignment="1" applyProtection="1">
      <alignment horizontal="center" vertical="center" wrapText="1"/>
      <protection locked="0"/>
    </xf>
    <xf numFmtId="43" fontId="11" fillId="28" borderId="3" xfId="1" applyNumberFormat="1" applyFont="1" applyFill="1" applyBorder="1" applyAlignment="1" applyProtection="1">
      <alignment horizontal="center" vertical="center" wrapText="1"/>
      <protection locked="0"/>
    </xf>
    <xf numFmtId="43" fontId="11" fillId="28" borderId="43" xfId="1" applyNumberFormat="1" applyFont="1" applyFill="1" applyBorder="1" applyAlignment="1" applyProtection="1">
      <alignment horizontal="center" vertical="center" wrapText="1"/>
      <protection locked="0"/>
    </xf>
    <xf numFmtId="165" fontId="16" fillId="7" borderId="51" xfId="1" applyNumberFormat="1" applyFont="1" applyFill="1" applyBorder="1" applyAlignment="1">
      <alignment horizontal="center" vertical="center" wrapText="1"/>
    </xf>
    <xf numFmtId="43" fontId="16" fillId="7" borderId="32" xfId="1" applyNumberFormat="1" applyFont="1" applyFill="1" applyBorder="1" applyAlignment="1">
      <alignment horizontal="center" vertical="center" wrapText="1"/>
    </xf>
    <xf numFmtId="167" fontId="11" fillId="22" borderId="6" xfId="1" applyNumberFormat="1" applyFont="1" applyFill="1" applyBorder="1" applyAlignment="1">
      <alignment horizontal="center" vertical="center" wrapText="1"/>
    </xf>
    <xf numFmtId="0" fontId="11" fillId="6" borderId="49" xfId="0" applyFont="1" applyFill="1" applyBorder="1" applyAlignment="1">
      <alignment horizontal="center" vertical="center" wrapText="1"/>
    </xf>
    <xf numFmtId="0" fontId="11" fillId="6" borderId="59" xfId="0" applyFont="1" applyFill="1" applyBorder="1" applyAlignment="1">
      <alignment horizontal="center" vertical="center" wrapText="1"/>
    </xf>
    <xf numFmtId="0" fontId="11" fillId="6" borderId="48" xfId="0" applyFont="1" applyFill="1" applyBorder="1" applyAlignment="1">
      <alignment horizontal="center" vertical="center" wrapText="1"/>
    </xf>
    <xf numFmtId="0" fontId="11" fillId="10" borderId="1" xfId="1" applyNumberFormat="1" applyFont="1" applyFill="1" applyBorder="1" applyAlignment="1" applyProtection="1">
      <alignment horizontal="center" vertical="center" wrapText="1"/>
    </xf>
    <xf numFmtId="0" fontId="16" fillId="0" borderId="27" xfId="0" applyFont="1" applyBorder="1" applyAlignment="1">
      <alignment horizontal="center" vertical="center"/>
    </xf>
    <xf numFmtId="9" fontId="11" fillId="0" borderId="29" xfId="2" applyFont="1" applyBorder="1" applyAlignment="1">
      <alignment horizontal="center" vertical="center"/>
    </xf>
    <xf numFmtId="9" fontId="11" fillId="0" borderId="3" xfId="2" applyFont="1" applyBorder="1" applyAlignment="1">
      <alignment horizontal="center" vertical="center"/>
    </xf>
    <xf numFmtId="167" fontId="16" fillId="14" borderId="66" xfId="0" applyNumberFormat="1" applyFont="1" applyFill="1" applyBorder="1" applyAlignment="1">
      <alignment horizontal="center" vertical="center"/>
    </xf>
    <xf numFmtId="9" fontId="16" fillId="14" borderId="8" xfId="2" applyFont="1" applyFill="1" applyBorder="1" applyAlignment="1">
      <alignment horizontal="center" vertical="center"/>
    </xf>
    <xf numFmtId="166" fontId="11" fillId="10" borderId="37" xfId="1" applyNumberFormat="1" applyFont="1" applyFill="1" applyBorder="1" applyAlignment="1" applyProtection="1">
      <alignment horizontal="center" vertical="center" wrapText="1"/>
    </xf>
    <xf numFmtId="43" fontId="11" fillId="12" borderId="47" xfId="1" applyNumberFormat="1" applyFont="1" applyFill="1" applyBorder="1" applyAlignment="1" applyProtection="1">
      <alignment horizontal="center" vertical="center" wrapText="1"/>
      <protection locked="0"/>
    </xf>
    <xf numFmtId="9" fontId="11" fillId="12" borderId="3" xfId="2" applyFont="1" applyFill="1" applyBorder="1" applyAlignment="1">
      <alignment horizontal="center" vertical="center"/>
    </xf>
    <xf numFmtId="43" fontId="11" fillId="12" borderId="64" xfId="1" applyNumberFormat="1" applyFont="1" applyFill="1" applyBorder="1" applyAlignment="1" applyProtection="1">
      <alignment horizontal="center" vertical="center" wrapText="1"/>
      <protection locked="0"/>
    </xf>
    <xf numFmtId="43" fontId="11" fillId="12" borderId="44" xfId="1" applyNumberFormat="1" applyFont="1" applyFill="1" applyBorder="1" applyAlignment="1" applyProtection="1">
      <alignment horizontal="center" vertical="center" wrapText="1"/>
      <protection locked="0"/>
    </xf>
    <xf numFmtId="43" fontId="11" fillId="12" borderId="20" xfId="1" applyNumberFormat="1" applyFont="1" applyFill="1" applyBorder="1" applyAlignment="1" applyProtection="1">
      <alignment horizontal="center" vertical="center" wrapText="1"/>
      <protection locked="0"/>
    </xf>
    <xf numFmtId="43" fontId="11" fillId="12" borderId="46" xfId="1" applyNumberFormat="1" applyFont="1" applyFill="1" applyBorder="1" applyAlignment="1" applyProtection="1">
      <alignment horizontal="center" vertical="center" wrapText="1"/>
      <protection locked="0"/>
    </xf>
    <xf numFmtId="43" fontId="2" fillId="10" borderId="43" xfId="1" applyNumberFormat="1" applyFont="1" applyFill="1" applyBorder="1" applyAlignment="1" applyProtection="1">
      <alignment horizontal="center" vertical="center" wrapText="1"/>
    </xf>
    <xf numFmtId="43" fontId="2" fillId="10" borderId="3" xfId="1" applyNumberFormat="1" applyFont="1" applyFill="1" applyBorder="1" applyAlignment="1">
      <alignment horizontal="center" vertical="center" wrapText="1"/>
    </xf>
    <xf numFmtId="43" fontId="2" fillId="10" borderId="39" xfId="1" applyNumberFormat="1" applyFont="1" applyFill="1" applyBorder="1" applyAlignment="1" applyProtection="1">
      <alignment horizontal="center" vertical="center" wrapText="1"/>
    </xf>
    <xf numFmtId="43" fontId="11" fillId="12" borderId="65" xfId="1" applyNumberFormat="1" applyFont="1" applyFill="1" applyBorder="1" applyAlignment="1" applyProtection="1">
      <alignment horizontal="center" vertical="center" wrapText="1"/>
      <protection locked="0"/>
    </xf>
    <xf numFmtId="0" fontId="16" fillId="4" borderId="50" xfId="0" applyFont="1" applyFill="1" applyBorder="1" applyAlignment="1">
      <alignment horizontal="center" vertical="center"/>
    </xf>
    <xf numFmtId="43" fontId="11" fillId="0" borderId="46" xfId="0" applyNumberFormat="1" applyFont="1" applyBorder="1" applyAlignment="1">
      <alignment horizontal="center" vertical="center"/>
    </xf>
    <xf numFmtId="43" fontId="11" fillId="0" borderId="21" xfId="0" applyNumberFormat="1" applyFont="1" applyBorder="1" applyAlignment="1">
      <alignment horizontal="center" vertical="center"/>
    </xf>
    <xf numFmtId="43" fontId="11" fillId="10" borderId="28" xfId="1" applyNumberFormat="1" applyFont="1" applyFill="1" applyBorder="1" applyAlignment="1" applyProtection="1">
      <alignment horizontal="center" vertical="center" wrapText="1"/>
    </xf>
    <xf numFmtId="0" fontId="5" fillId="22" borderId="7" xfId="0" applyFont="1" applyFill="1" applyBorder="1" applyAlignment="1" applyProtection="1">
      <alignment horizontal="center" vertical="center" wrapText="1"/>
    </xf>
    <xf numFmtId="43" fontId="11" fillId="18" borderId="32" xfId="1" applyNumberFormat="1" applyFont="1" applyFill="1" applyBorder="1" applyAlignment="1" applyProtection="1">
      <alignment horizontal="center" vertical="center" wrapText="1"/>
      <protection locked="0"/>
    </xf>
    <xf numFmtId="43" fontId="11" fillId="18" borderId="7" xfId="1" applyNumberFormat="1" applyFont="1" applyFill="1" applyBorder="1" applyAlignment="1" applyProtection="1">
      <alignment horizontal="center" vertical="center" wrapText="1"/>
      <protection locked="0"/>
    </xf>
    <xf numFmtId="43" fontId="11" fillId="18" borderId="8" xfId="1" applyNumberFormat="1" applyFont="1" applyFill="1" applyBorder="1" applyAlignment="1" applyProtection="1">
      <alignment horizontal="center" vertical="center" wrapText="1"/>
      <protection locked="0"/>
    </xf>
    <xf numFmtId="167" fontId="11" fillId="22" borderId="8" xfId="1" applyNumberFormat="1" applyFont="1" applyFill="1" applyBorder="1" applyAlignment="1">
      <alignment horizontal="center" vertical="center" wrapText="1"/>
    </xf>
    <xf numFmtId="0" fontId="12" fillId="4" borderId="24" xfId="0" applyFont="1" applyFill="1" applyBorder="1" applyAlignment="1">
      <alignment horizontal="center" vertical="center"/>
    </xf>
    <xf numFmtId="0" fontId="12" fillId="4" borderId="27" xfId="0" applyFont="1" applyFill="1" applyBorder="1" applyAlignment="1">
      <alignment horizontal="center" vertical="center"/>
    </xf>
    <xf numFmtId="165" fontId="12" fillId="0" borderId="37" xfId="1" applyNumberFormat="1" applyFont="1" applyFill="1" applyBorder="1" applyAlignment="1">
      <alignment horizontal="center" vertical="center"/>
    </xf>
    <xf numFmtId="165" fontId="12" fillId="0" borderId="51" xfId="1" applyNumberFormat="1" applyFont="1" applyFill="1" applyBorder="1" applyAlignment="1">
      <alignment horizontal="center" vertical="center"/>
    </xf>
    <xf numFmtId="0" fontId="11" fillId="12" borderId="30" xfId="1" applyNumberFormat="1" applyFont="1" applyFill="1" applyBorder="1" applyAlignment="1" applyProtection="1">
      <alignment horizontal="center" vertical="center" wrapText="1"/>
    </xf>
    <xf numFmtId="0" fontId="11" fillId="12" borderId="10" xfId="1" applyNumberFormat="1" applyFont="1" applyFill="1" applyBorder="1" applyAlignment="1" applyProtection="1">
      <alignment horizontal="center" vertical="center" wrapText="1"/>
    </xf>
    <xf numFmtId="0" fontId="11" fillId="12" borderId="43" xfId="1" applyNumberFormat="1" applyFont="1" applyFill="1" applyBorder="1" applyAlignment="1" applyProtection="1">
      <alignment horizontal="center" vertical="center" wrapText="1"/>
    </xf>
    <xf numFmtId="0" fontId="11" fillId="21" borderId="11" xfId="1" applyNumberFormat="1" applyFont="1" applyFill="1" applyBorder="1" applyAlignment="1" applyProtection="1">
      <alignment horizontal="center" vertical="center" wrapText="1"/>
    </xf>
    <xf numFmtId="0" fontId="11" fillId="21" borderId="29" xfId="1" applyNumberFormat="1" applyFont="1" applyFill="1" applyBorder="1" applyAlignment="1" applyProtection="1">
      <alignment horizontal="center" vertical="center" wrapText="1"/>
    </xf>
    <xf numFmtId="0" fontId="5" fillId="21" borderId="44" xfId="0" applyFont="1" applyFill="1" applyBorder="1" applyAlignment="1" applyProtection="1">
      <alignment horizontal="center" vertical="center" wrapText="1"/>
    </xf>
    <xf numFmtId="0" fontId="5" fillId="21" borderId="11" xfId="0" applyFont="1" applyFill="1" applyBorder="1" applyAlignment="1" applyProtection="1">
      <alignment horizontal="center" vertical="center" wrapText="1"/>
    </xf>
    <xf numFmtId="43" fontId="11" fillId="23" borderId="11" xfId="1" applyNumberFormat="1" applyFont="1" applyFill="1" applyBorder="1" applyAlignment="1" applyProtection="1">
      <alignment horizontal="center" vertical="center" wrapText="1"/>
      <protection locked="0"/>
    </xf>
    <xf numFmtId="43" fontId="11" fillId="23" borderId="29" xfId="1" applyNumberFormat="1" applyFont="1" applyFill="1" applyBorder="1" applyAlignment="1" applyProtection="1">
      <alignment horizontal="center" vertical="center" wrapText="1"/>
      <protection locked="0"/>
    </xf>
    <xf numFmtId="167" fontId="11" fillId="21" borderId="29" xfId="1" applyNumberFormat="1" applyFont="1" applyFill="1" applyBorder="1" applyAlignment="1" applyProtection="1">
      <alignment horizontal="center" vertical="center" wrapText="1"/>
    </xf>
    <xf numFmtId="0" fontId="11" fillId="12" borderId="34" xfId="1" applyNumberFormat="1" applyFont="1" applyFill="1" applyBorder="1" applyAlignment="1" applyProtection="1">
      <alignment horizontal="center" vertical="center" wrapText="1"/>
    </xf>
    <xf numFmtId="0" fontId="11" fillId="12" borderId="35" xfId="1" applyNumberFormat="1" applyFont="1" applyFill="1" applyBorder="1" applyAlignment="1" applyProtection="1">
      <alignment horizontal="center" vertical="center" wrapText="1"/>
    </xf>
    <xf numFmtId="0" fontId="11" fillId="12" borderId="56" xfId="1" applyNumberFormat="1" applyFont="1" applyFill="1" applyBorder="1" applyAlignment="1" applyProtection="1">
      <alignment horizontal="center" vertical="center" wrapText="1"/>
    </xf>
    <xf numFmtId="0" fontId="5" fillId="12" borderId="67" xfId="0" applyFont="1" applyFill="1" applyBorder="1" applyAlignment="1" applyProtection="1">
      <alignment horizontal="center" vertical="center" wrapText="1"/>
    </xf>
    <xf numFmtId="0" fontId="5" fillId="12" borderId="35" xfId="0" applyFont="1" applyFill="1" applyBorder="1" applyAlignment="1" applyProtection="1">
      <alignment horizontal="center" vertical="center" wrapText="1"/>
    </xf>
    <xf numFmtId="166" fontId="11" fillId="19" borderId="34" xfId="1" applyNumberFormat="1" applyFont="1" applyFill="1" applyBorder="1" applyAlignment="1" applyProtection="1">
      <alignment horizontal="center" vertical="center" wrapText="1"/>
    </xf>
    <xf numFmtId="43" fontId="11" fillId="19" borderId="67" xfId="1" applyNumberFormat="1" applyFont="1" applyFill="1" applyBorder="1" applyAlignment="1" applyProtection="1">
      <alignment horizontal="center" vertical="center" wrapText="1"/>
      <protection locked="0"/>
    </xf>
    <xf numFmtId="43" fontId="11" fillId="19" borderId="35" xfId="1" applyNumberFormat="1" applyFont="1" applyFill="1" applyBorder="1" applyAlignment="1" applyProtection="1">
      <alignment horizontal="center" vertical="center" wrapText="1"/>
      <protection locked="0"/>
    </xf>
    <xf numFmtId="43" fontId="11" fillId="19" borderId="56" xfId="1" applyNumberFormat="1" applyFont="1" applyFill="1" applyBorder="1" applyAlignment="1" applyProtection="1">
      <alignment horizontal="center" vertical="center" wrapText="1"/>
      <protection locked="0"/>
    </xf>
    <xf numFmtId="167" fontId="11" fillId="12" borderId="56" xfId="1" applyNumberFormat="1" applyFont="1" applyFill="1" applyBorder="1" applyAlignment="1">
      <alignment horizontal="center" vertical="center" wrapText="1"/>
    </xf>
    <xf numFmtId="43" fontId="11" fillId="0" borderId="31" xfId="0" applyNumberFormat="1" applyFont="1" applyBorder="1" applyAlignment="1">
      <alignment horizontal="center" vertical="center"/>
    </xf>
    <xf numFmtId="167" fontId="16" fillId="14" borderId="26" xfId="0" applyNumberFormat="1" applyFont="1" applyFill="1" applyBorder="1" applyAlignment="1">
      <alignment horizontal="center" vertical="center"/>
    </xf>
    <xf numFmtId="167" fontId="11" fillId="0" borderId="41" xfId="0" applyNumberFormat="1" applyFont="1" applyBorder="1" applyAlignment="1">
      <alignment horizontal="center" vertical="center"/>
    </xf>
    <xf numFmtId="167" fontId="11" fillId="0" borderId="42" xfId="0" applyNumberFormat="1" applyFont="1" applyBorder="1" applyAlignment="1">
      <alignment horizontal="center" vertical="center"/>
    </xf>
    <xf numFmtId="167" fontId="16" fillId="14" borderId="15" xfId="0" applyNumberFormat="1" applyFont="1" applyFill="1" applyBorder="1" applyAlignment="1">
      <alignment horizontal="center" vertical="center"/>
    </xf>
    <xf numFmtId="9" fontId="11" fillId="0" borderId="39" xfId="2" applyNumberFormat="1" applyFont="1" applyBorder="1" applyAlignment="1">
      <alignment horizontal="center" vertical="center"/>
    </xf>
    <xf numFmtId="9" fontId="11" fillId="0" borderId="48" xfId="2" applyFont="1" applyBorder="1" applyAlignment="1">
      <alignment horizontal="center" vertical="center"/>
    </xf>
    <xf numFmtId="9" fontId="11" fillId="0" borderId="56" xfId="2" applyNumberFormat="1" applyFont="1" applyBorder="1" applyAlignment="1">
      <alignment horizontal="center" vertical="center"/>
    </xf>
    <xf numFmtId="9" fontId="11" fillId="0" borderId="49" xfId="2" applyFont="1" applyBorder="1" applyAlignment="1">
      <alignment horizontal="center" vertical="center"/>
    </xf>
    <xf numFmtId="9" fontId="11" fillId="0" borderId="71" xfId="2" applyNumberFormat="1" applyFont="1" applyBorder="1" applyAlignment="1">
      <alignment horizontal="center" vertical="center"/>
    </xf>
    <xf numFmtId="9" fontId="11" fillId="0" borderId="59" xfId="2" applyFont="1" applyBorder="1" applyAlignment="1">
      <alignment horizontal="center" vertical="center"/>
    </xf>
    <xf numFmtId="43" fontId="11" fillId="18" borderId="74" xfId="1" applyNumberFormat="1" applyFont="1" applyFill="1" applyBorder="1" applyAlignment="1" applyProtection="1">
      <alignment horizontal="center" vertical="center" wrapText="1"/>
      <protection locked="0"/>
    </xf>
    <xf numFmtId="43" fontId="11" fillId="18" borderId="19" xfId="1" applyNumberFormat="1" applyFont="1" applyFill="1" applyBorder="1" applyAlignment="1" applyProtection="1">
      <alignment horizontal="center" vertical="center" wrapText="1"/>
      <protection locked="0"/>
    </xf>
    <xf numFmtId="43" fontId="11" fillId="18" borderId="44" xfId="1" applyNumberFormat="1" applyFont="1" applyFill="1" applyBorder="1" applyAlignment="1" applyProtection="1">
      <alignment horizontal="center" vertical="center" wrapText="1"/>
      <protection locked="0"/>
    </xf>
    <xf numFmtId="43" fontId="11" fillId="18" borderId="47" xfId="1" applyNumberFormat="1" applyFont="1" applyFill="1" applyBorder="1" applyAlignment="1" applyProtection="1">
      <alignment horizontal="center" vertical="center" wrapText="1"/>
      <protection locked="0"/>
    </xf>
    <xf numFmtId="43" fontId="11" fillId="17" borderId="20" xfId="1" applyNumberFormat="1" applyFont="1" applyFill="1" applyBorder="1" applyAlignment="1" applyProtection="1">
      <alignment horizontal="center" vertical="center" wrapText="1"/>
      <protection locked="0"/>
    </xf>
    <xf numFmtId="43" fontId="11" fillId="17" borderId="44" xfId="1" applyNumberFormat="1" applyFont="1" applyFill="1" applyBorder="1" applyAlignment="1" applyProtection="1">
      <alignment horizontal="center" vertical="center" wrapText="1"/>
      <protection locked="0"/>
    </xf>
    <xf numFmtId="43" fontId="11" fillId="19" borderId="44" xfId="1" applyNumberFormat="1" applyFont="1" applyFill="1" applyBorder="1" applyAlignment="1" applyProtection="1">
      <alignment horizontal="center" vertical="center" wrapText="1"/>
      <protection locked="0"/>
    </xf>
    <xf numFmtId="43" fontId="11" fillId="19" borderId="46" xfId="1" applyNumberFormat="1" applyFont="1" applyFill="1" applyBorder="1" applyAlignment="1" applyProtection="1">
      <alignment horizontal="center" vertical="center" wrapText="1"/>
      <protection locked="0"/>
    </xf>
    <xf numFmtId="43" fontId="11" fillId="31" borderId="20" xfId="1" applyNumberFormat="1" applyFont="1" applyFill="1" applyBorder="1" applyAlignment="1" applyProtection="1">
      <alignment horizontal="center" vertical="center" wrapText="1"/>
      <protection locked="0"/>
    </xf>
    <xf numFmtId="43" fontId="11" fillId="28" borderId="20" xfId="1" applyNumberFormat="1" applyFont="1" applyFill="1" applyBorder="1" applyAlignment="1" applyProtection="1">
      <alignment horizontal="center" vertical="center" wrapText="1"/>
      <protection locked="0"/>
    </xf>
    <xf numFmtId="43" fontId="11" fillId="28" borderId="46" xfId="1" applyNumberFormat="1" applyFont="1" applyFill="1" applyBorder="1" applyAlignment="1" applyProtection="1">
      <alignment horizontal="center" vertical="center" wrapText="1"/>
      <protection locked="0"/>
    </xf>
    <xf numFmtId="43" fontId="16" fillId="7" borderId="47" xfId="1" applyNumberFormat="1" applyFont="1" applyFill="1" applyBorder="1" applyAlignment="1">
      <alignment horizontal="center" vertical="center" wrapText="1"/>
    </xf>
    <xf numFmtId="43" fontId="2" fillId="22" borderId="6" xfId="1" applyNumberFormat="1" applyFont="1" applyFill="1" applyBorder="1" applyAlignment="1" applyProtection="1">
      <alignment horizontal="center" vertical="center" wrapText="1"/>
    </xf>
    <xf numFmtId="43" fontId="2" fillId="22" borderId="29" xfId="1" applyNumberFormat="1" applyFont="1" applyFill="1" applyBorder="1" applyAlignment="1" applyProtection="1">
      <alignment horizontal="center" vertical="center" wrapText="1"/>
    </xf>
    <xf numFmtId="43" fontId="2" fillId="22" borderId="3" xfId="1" applyNumberFormat="1" applyFont="1" applyFill="1" applyBorder="1" applyAlignment="1" applyProtection="1">
      <alignment horizontal="center" vertical="center" wrapText="1"/>
    </xf>
    <xf numFmtId="43" fontId="16" fillId="11" borderId="3" xfId="1" applyNumberFormat="1" applyFont="1" applyFill="1" applyBorder="1" applyAlignment="1" applyProtection="1">
      <alignment horizontal="center" vertical="center" wrapText="1"/>
    </xf>
    <xf numFmtId="43" fontId="2" fillId="11" borderId="29" xfId="1" applyNumberFormat="1" applyFont="1" applyFill="1" applyBorder="1" applyAlignment="1">
      <alignment horizontal="center" vertical="center" wrapText="1"/>
    </xf>
    <xf numFmtId="43" fontId="16" fillId="11" borderId="29" xfId="1" applyNumberFormat="1" applyFont="1" applyFill="1" applyBorder="1" applyAlignment="1" applyProtection="1">
      <alignment horizontal="center" vertical="center" wrapText="1"/>
    </xf>
    <xf numFmtId="43" fontId="2" fillId="21" borderId="29" xfId="1" applyFont="1" applyFill="1" applyBorder="1" applyAlignment="1" applyProtection="1">
      <alignment horizontal="center" vertical="center" wrapText="1"/>
    </xf>
    <xf numFmtId="43" fontId="2" fillId="21" borderId="3" xfId="1" applyFont="1" applyFill="1" applyBorder="1" applyAlignment="1" applyProtection="1">
      <alignment horizontal="center" vertical="center" wrapText="1"/>
    </xf>
    <xf numFmtId="43" fontId="2" fillId="27" borderId="3" xfId="1" applyFont="1" applyFill="1" applyBorder="1" applyAlignment="1" applyProtection="1">
      <alignment horizontal="center" vertical="center" wrapText="1"/>
    </xf>
    <xf numFmtId="43" fontId="2" fillId="27" borderId="43" xfId="1" applyFont="1" applyFill="1" applyBorder="1" applyAlignment="1" applyProtection="1">
      <alignment horizontal="center" vertical="center" wrapText="1"/>
    </xf>
    <xf numFmtId="43" fontId="11" fillId="0" borderId="0" xfId="0" applyNumberFormat="1" applyFont="1" applyBorder="1" applyAlignment="1">
      <alignment horizontal="center" vertical="center"/>
    </xf>
    <xf numFmtId="43" fontId="11" fillId="31" borderId="5" xfId="1" applyNumberFormat="1" applyFont="1" applyFill="1" applyBorder="1" applyAlignment="1" applyProtection="1">
      <alignment horizontal="center" vertical="center" wrapText="1"/>
      <protection locked="0"/>
    </xf>
    <xf numFmtId="43" fontId="11" fillId="31" borderId="11" xfId="1" applyNumberFormat="1" applyFont="1" applyFill="1" applyBorder="1" applyAlignment="1" applyProtection="1">
      <alignment horizontal="center" vertical="center" wrapText="1"/>
      <protection locked="0"/>
    </xf>
    <xf numFmtId="43" fontId="11" fillId="31" borderId="1" xfId="1" applyNumberFormat="1" applyFont="1" applyFill="1" applyBorder="1" applyAlignment="1" applyProtection="1">
      <alignment horizontal="center" vertical="center" wrapText="1"/>
      <protection locked="0"/>
    </xf>
    <xf numFmtId="43" fontId="11" fillId="19" borderId="1" xfId="1" applyNumberFormat="1" applyFont="1" applyFill="1" applyBorder="1" applyAlignment="1" applyProtection="1">
      <alignment horizontal="center" vertical="center" wrapText="1"/>
      <protection locked="0"/>
    </xf>
    <xf numFmtId="0" fontId="5" fillId="22" borderId="1" xfId="0" applyFont="1" applyFill="1" applyBorder="1" applyAlignment="1" applyProtection="1">
      <alignment horizontal="center" vertical="center" wrapText="1"/>
    </xf>
    <xf numFmtId="0" fontId="5" fillId="22" borderId="28" xfId="0" applyFont="1" applyFill="1" applyBorder="1" applyAlignment="1" applyProtection="1">
      <alignment horizontal="center" vertical="center" wrapText="1"/>
    </xf>
    <xf numFmtId="0" fontId="11" fillId="7" borderId="28" xfId="1" applyNumberFormat="1" applyFont="1" applyFill="1" applyBorder="1" applyAlignment="1" applyProtection="1">
      <alignment horizontal="center" vertical="center" wrapText="1"/>
    </xf>
    <xf numFmtId="0" fontId="11" fillId="7" borderId="29" xfId="1" applyNumberFormat="1" applyFont="1" applyFill="1" applyBorder="1" applyAlignment="1" applyProtection="1">
      <alignment horizontal="center" vertical="center" wrapText="1"/>
    </xf>
    <xf numFmtId="43" fontId="11" fillId="19" borderId="20" xfId="1" applyNumberFormat="1" applyFont="1" applyFill="1" applyBorder="1" applyAlignment="1" applyProtection="1">
      <alignment horizontal="center" vertical="center" wrapText="1"/>
      <protection locked="0"/>
    </xf>
    <xf numFmtId="0" fontId="16" fillId="4" borderId="60" xfId="0" applyFont="1" applyFill="1" applyBorder="1" applyAlignment="1">
      <alignment horizontal="center" vertical="center"/>
    </xf>
    <xf numFmtId="165" fontId="16" fillId="3" borderId="47" xfId="1" applyNumberFormat="1" applyFont="1" applyFill="1" applyBorder="1" applyAlignment="1">
      <alignment horizontal="center" vertical="center"/>
    </xf>
    <xf numFmtId="0" fontId="16" fillId="5" borderId="17" xfId="0" applyFont="1" applyFill="1" applyBorder="1" applyAlignment="1">
      <alignment horizontal="center" vertical="center"/>
    </xf>
    <xf numFmtId="165" fontId="16" fillId="0" borderId="13" xfId="1" applyNumberFormat="1" applyFont="1" applyFill="1" applyBorder="1" applyAlignment="1">
      <alignment horizontal="center" vertical="center"/>
    </xf>
    <xf numFmtId="0" fontId="16" fillId="5" borderId="45" xfId="0" applyFont="1" applyFill="1" applyBorder="1" applyAlignment="1">
      <alignment horizontal="center" vertical="center"/>
    </xf>
    <xf numFmtId="43" fontId="16" fillId="7" borderId="70" xfId="1" applyNumberFormat="1" applyFont="1" applyFill="1" applyBorder="1" applyAlignment="1">
      <alignment horizontal="center" vertical="center" wrapText="1"/>
    </xf>
    <xf numFmtId="43" fontId="11" fillId="0" borderId="0" xfId="0" applyNumberFormat="1" applyFont="1" applyAlignment="1">
      <alignment horizontal="center" vertical="center"/>
    </xf>
    <xf numFmtId="167" fontId="16" fillId="7" borderId="51" xfId="1" applyNumberFormat="1" applyFont="1" applyFill="1" applyBorder="1" applyAlignment="1">
      <alignment horizontal="center" vertical="center" wrapText="1"/>
    </xf>
    <xf numFmtId="43" fontId="11" fillId="0" borderId="61" xfId="0" applyNumberFormat="1" applyFont="1" applyBorder="1" applyAlignment="1">
      <alignment horizontal="center" vertical="center"/>
    </xf>
    <xf numFmtId="9" fontId="11" fillId="0" borderId="50" xfId="2" applyFont="1" applyBorder="1" applyAlignment="1">
      <alignment horizontal="center" vertical="center"/>
    </xf>
    <xf numFmtId="9" fontId="16" fillId="14" borderId="16" xfId="2" applyFont="1" applyFill="1" applyBorder="1" applyAlignment="1">
      <alignment horizontal="center" vertical="center"/>
    </xf>
    <xf numFmtId="9" fontId="11" fillId="0" borderId="45" xfId="2" applyNumberFormat="1" applyFont="1" applyBorder="1" applyAlignment="1">
      <alignment horizontal="center" vertical="center"/>
    </xf>
    <xf numFmtId="9" fontId="11" fillId="0" borderId="55" xfId="2" applyNumberFormat="1" applyFont="1" applyBorder="1" applyAlignment="1">
      <alignment horizontal="center" vertical="center"/>
    </xf>
    <xf numFmtId="9" fontId="11" fillId="0" borderId="68" xfId="2" applyNumberFormat="1" applyFont="1" applyBorder="1" applyAlignment="1">
      <alignment horizontal="center" vertical="center"/>
    </xf>
    <xf numFmtId="9" fontId="11" fillId="0" borderId="12" xfId="2" applyNumberFormat="1" applyFont="1" applyBorder="1" applyAlignment="1">
      <alignment horizontal="center" vertical="center"/>
    </xf>
    <xf numFmtId="0" fontId="16" fillId="0" borderId="15" xfId="0" applyFont="1" applyBorder="1" applyAlignment="1">
      <alignment horizontal="center" vertical="center" wrapText="1"/>
    </xf>
    <xf numFmtId="9" fontId="11" fillId="0" borderId="48" xfId="2" applyNumberFormat="1" applyFont="1" applyBorder="1" applyAlignment="1">
      <alignment horizontal="center" vertical="center"/>
    </xf>
    <xf numFmtId="9" fontId="11" fillId="0" borderId="52" xfId="2" applyNumberFormat="1" applyFont="1" applyBorder="1" applyAlignment="1">
      <alignment horizontal="center" vertical="center"/>
    </xf>
    <xf numFmtId="9" fontId="11" fillId="0" borderId="51" xfId="2" applyNumberFormat="1" applyFont="1" applyBorder="1" applyAlignment="1">
      <alignment horizontal="center" vertical="center"/>
    </xf>
    <xf numFmtId="167" fontId="16" fillId="22" borderId="51" xfId="1" applyNumberFormat="1" applyFont="1" applyFill="1" applyBorder="1" applyAlignment="1">
      <alignment horizontal="center" vertical="center" wrapText="1"/>
    </xf>
    <xf numFmtId="43" fontId="11" fillId="0" borderId="64" xfId="0" applyNumberFormat="1" applyFont="1" applyBorder="1" applyAlignment="1">
      <alignment horizontal="center" vertical="center"/>
    </xf>
    <xf numFmtId="0" fontId="16" fillId="4" borderId="59" xfId="0" applyFont="1" applyFill="1" applyBorder="1" applyAlignment="1">
      <alignment horizontal="center" vertical="center"/>
    </xf>
    <xf numFmtId="43" fontId="11" fillId="0" borderId="66" xfId="0" applyNumberFormat="1" applyFont="1" applyBorder="1" applyAlignment="1">
      <alignment horizontal="center" vertical="center"/>
    </xf>
    <xf numFmtId="167" fontId="11" fillId="0" borderId="72" xfId="0" applyNumberFormat="1" applyFont="1" applyBorder="1" applyAlignment="1">
      <alignment horizontal="center" vertical="center"/>
    </xf>
    <xf numFmtId="167" fontId="11" fillId="0" borderId="69" xfId="0" applyNumberFormat="1" applyFont="1" applyBorder="1" applyAlignment="1">
      <alignment horizontal="center" vertical="center"/>
    </xf>
    <xf numFmtId="43" fontId="11" fillId="0" borderId="53" xfId="0" applyNumberFormat="1" applyFont="1" applyBorder="1" applyAlignment="1">
      <alignment horizontal="center" vertical="center"/>
    </xf>
    <xf numFmtId="43" fontId="11" fillId="18" borderId="10" xfId="1" applyNumberFormat="1" applyFont="1" applyFill="1" applyBorder="1" applyAlignment="1" applyProtection="1">
      <alignment horizontal="center" vertical="center" wrapText="1"/>
      <protection locked="0"/>
    </xf>
    <xf numFmtId="0" fontId="5" fillId="11" borderId="30" xfId="0" applyFont="1" applyFill="1" applyBorder="1" applyAlignment="1" applyProtection="1">
      <alignment horizontal="center" vertical="center" wrapText="1"/>
    </xf>
    <xf numFmtId="0" fontId="5" fillId="11" borderId="10" xfId="0" applyFont="1" applyFill="1" applyBorder="1" applyAlignment="1" applyProtection="1">
      <alignment horizontal="center" vertical="center" wrapText="1"/>
    </xf>
    <xf numFmtId="43" fontId="11" fillId="17" borderId="10" xfId="1" applyNumberFormat="1" applyFont="1" applyFill="1" applyBorder="1" applyAlignment="1" applyProtection="1">
      <alignment horizontal="center" vertical="center" wrapText="1"/>
      <protection locked="0"/>
    </xf>
    <xf numFmtId="43" fontId="11" fillId="17" borderId="43" xfId="1" applyNumberFormat="1" applyFont="1" applyFill="1" applyBorder="1" applyAlignment="1" applyProtection="1">
      <alignment horizontal="center" vertical="center" wrapText="1"/>
      <protection locked="0"/>
    </xf>
    <xf numFmtId="167" fontId="11" fillId="11" borderId="43" xfId="1" applyNumberFormat="1" applyFont="1" applyFill="1" applyBorder="1" applyAlignment="1">
      <alignment horizontal="center" vertical="center" wrapText="1"/>
    </xf>
    <xf numFmtId="0" fontId="11" fillId="12" borderId="28" xfId="1" applyNumberFormat="1" applyFont="1" applyFill="1" applyBorder="1" applyAlignment="1" applyProtection="1">
      <alignment horizontal="center" vertical="center" wrapText="1"/>
    </xf>
    <xf numFmtId="0" fontId="11" fillId="12" borderId="11" xfId="1" applyNumberFormat="1" applyFont="1" applyFill="1" applyBorder="1" applyAlignment="1" applyProtection="1">
      <alignment horizontal="center" vertical="center" wrapText="1"/>
    </xf>
    <xf numFmtId="0" fontId="11" fillId="12" borderId="29" xfId="1" applyNumberFormat="1" applyFont="1" applyFill="1" applyBorder="1" applyAlignment="1" applyProtection="1">
      <alignment horizontal="center" vertical="center" wrapText="1"/>
    </xf>
    <xf numFmtId="167" fontId="11" fillId="0" borderId="3" xfId="0" applyNumberFormat="1" applyFont="1" applyBorder="1" applyAlignment="1">
      <alignment horizontal="center" vertical="center"/>
    </xf>
    <xf numFmtId="43" fontId="16" fillId="11" borderId="43" xfId="1" applyNumberFormat="1" applyFont="1" applyFill="1" applyBorder="1" applyAlignment="1" applyProtection="1">
      <alignment horizontal="center" vertical="center" wrapText="1"/>
    </xf>
    <xf numFmtId="43" fontId="11" fillId="31" borderId="46" xfId="1" applyNumberFormat="1" applyFont="1" applyFill="1" applyBorder="1" applyAlignment="1" applyProtection="1">
      <alignment horizontal="center" vertical="center" wrapText="1"/>
      <protection locked="0"/>
    </xf>
    <xf numFmtId="0" fontId="15" fillId="11" borderId="45" xfId="0" applyFont="1" applyFill="1" applyBorder="1" applyAlignment="1">
      <alignment horizontal="center" vertical="center" wrapText="1"/>
    </xf>
    <xf numFmtId="0" fontId="11" fillId="11" borderId="24" xfId="1" applyNumberFormat="1" applyFont="1" applyFill="1" applyBorder="1" applyAlignment="1" applyProtection="1">
      <alignment horizontal="center" vertical="center" wrapText="1"/>
    </xf>
    <xf numFmtId="0" fontId="11" fillId="11" borderId="25" xfId="1" applyNumberFormat="1" applyFont="1" applyFill="1" applyBorder="1" applyAlignment="1" applyProtection="1">
      <alignment horizontal="center" vertical="center" wrapText="1"/>
    </xf>
    <xf numFmtId="0" fontId="11" fillId="11" borderId="27" xfId="1" applyNumberFormat="1" applyFont="1" applyFill="1" applyBorder="1" applyAlignment="1" applyProtection="1">
      <alignment horizontal="center" vertical="center" wrapText="1"/>
    </xf>
    <xf numFmtId="0" fontId="5" fillId="11" borderId="60" xfId="0" applyFont="1" applyFill="1" applyBorder="1" applyAlignment="1" applyProtection="1">
      <alignment horizontal="center" vertical="center" wrapText="1"/>
    </xf>
    <xf numFmtId="0" fontId="5" fillId="11" borderId="25" xfId="0" applyFont="1" applyFill="1" applyBorder="1" applyAlignment="1" applyProtection="1">
      <alignment horizontal="center" vertical="center" wrapText="1"/>
    </xf>
    <xf numFmtId="43" fontId="16" fillId="11" borderId="27" xfId="1" applyNumberFormat="1" applyFont="1" applyFill="1" applyBorder="1" applyAlignment="1" applyProtection="1">
      <alignment horizontal="center" vertical="center" wrapText="1"/>
    </xf>
    <xf numFmtId="43" fontId="11" fillId="17" borderId="25" xfId="1" applyNumberFormat="1" applyFont="1" applyFill="1" applyBorder="1" applyAlignment="1" applyProtection="1">
      <alignment horizontal="center" vertical="center" wrapText="1"/>
      <protection locked="0"/>
    </xf>
    <xf numFmtId="43" fontId="11" fillId="17" borderId="27" xfId="1" applyNumberFormat="1" applyFont="1" applyFill="1" applyBorder="1" applyAlignment="1" applyProtection="1">
      <alignment horizontal="center" vertical="center" wrapText="1"/>
      <protection locked="0"/>
    </xf>
    <xf numFmtId="167" fontId="11" fillId="11" borderId="27" xfId="1" applyNumberFormat="1" applyFont="1" applyFill="1" applyBorder="1" applyAlignment="1">
      <alignment horizontal="center" vertical="center" wrapText="1"/>
    </xf>
    <xf numFmtId="0" fontId="5" fillId="11" borderId="11" xfId="0" applyNumberFormat="1" applyFont="1" applyFill="1" applyBorder="1" applyAlignment="1" applyProtection="1">
      <alignment horizontal="center" vertical="center" wrapText="1"/>
    </xf>
    <xf numFmtId="43" fontId="20" fillId="17" borderId="11" xfId="1" applyNumberFormat="1" applyFont="1" applyFill="1" applyBorder="1" applyAlignment="1" applyProtection="1">
      <alignment horizontal="center" vertical="center" wrapText="1"/>
      <protection locked="0"/>
    </xf>
    <xf numFmtId="0" fontId="11" fillId="6" borderId="52" xfId="0" applyFont="1" applyFill="1" applyBorder="1" applyAlignment="1">
      <alignment horizontal="center" vertical="center" wrapText="1"/>
    </xf>
    <xf numFmtId="43" fontId="11" fillId="31" borderId="10" xfId="1" applyNumberFormat="1" applyFont="1" applyFill="1" applyBorder="1" applyAlignment="1" applyProtection="1">
      <alignment horizontal="center" vertical="center" wrapText="1"/>
      <protection locked="0"/>
    </xf>
    <xf numFmtId="166" fontId="11" fillId="11" borderId="24" xfId="1" applyNumberFormat="1" applyFont="1" applyFill="1" applyBorder="1" applyAlignment="1" applyProtection="1">
      <alignment horizontal="center" vertical="center" wrapText="1"/>
    </xf>
    <xf numFmtId="0" fontId="12" fillId="31" borderId="67" xfId="0" applyFont="1" applyFill="1" applyBorder="1" applyAlignment="1">
      <alignment horizontal="center" vertical="center" wrapText="1"/>
    </xf>
    <xf numFmtId="0" fontId="12" fillId="31" borderId="35" xfId="0" applyFont="1" applyFill="1" applyBorder="1" applyAlignment="1">
      <alignment horizontal="center" vertical="center" wrapText="1"/>
    </xf>
    <xf numFmtId="0" fontId="11" fillId="21" borderId="40" xfId="1" applyNumberFormat="1" applyFont="1" applyFill="1" applyBorder="1" applyAlignment="1" applyProtection="1">
      <alignment horizontal="center" vertical="center" wrapText="1"/>
    </xf>
    <xf numFmtId="0" fontId="11" fillId="21" borderId="21" xfId="1" applyNumberFormat="1" applyFont="1" applyFill="1" applyBorder="1" applyAlignment="1" applyProtection="1">
      <alignment horizontal="center" vertical="center" wrapText="1"/>
    </xf>
    <xf numFmtId="0" fontId="11" fillId="21" borderId="71" xfId="1" applyNumberFormat="1" applyFont="1" applyFill="1" applyBorder="1" applyAlignment="1" applyProtection="1">
      <alignment horizontal="center" vertical="center" wrapText="1"/>
    </xf>
    <xf numFmtId="0" fontId="5" fillId="21" borderId="61" xfId="0" applyFont="1" applyFill="1" applyBorder="1" applyAlignment="1" applyProtection="1">
      <alignment horizontal="center" vertical="center" wrapText="1"/>
    </xf>
    <xf numFmtId="0" fontId="5" fillId="21" borderId="21" xfId="0" applyFont="1" applyFill="1" applyBorder="1" applyAlignment="1" applyProtection="1">
      <alignment horizontal="center" vertical="center" wrapText="1"/>
    </xf>
    <xf numFmtId="43" fontId="2" fillId="21" borderId="71" xfId="1" applyFont="1" applyFill="1" applyBorder="1" applyAlignment="1" applyProtection="1">
      <alignment horizontal="center" vertical="center" wrapText="1"/>
    </xf>
    <xf numFmtId="167" fontId="11" fillId="21" borderId="71" xfId="1" applyNumberFormat="1" applyFont="1" applyFill="1" applyBorder="1" applyAlignment="1" applyProtection="1">
      <alignment horizontal="center" vertical="center" wrapText="1"/>
    </xf>
    <xf numFmtId="0" fontId="11" fillId="6" borderId="50" xfId="0" applyFont="1" applyFill="1" applyBorder="1" applyAlignment="1">
      <alignment horizontal="center" vertical="center" wrapText="1"/>
    </xf>
    <xf numFmtId="43" fontId="11" fillId="23" borderId="10" xfId="1" applyNumberFormat="1" applyFont="1" applyFill="1" applyBorder="1" applyAlignment="1" applyProtection="1">
      <alignment horizontal="center" vertical="center" wrapText="1"/>
      <protection locked="0"/>
    </xf>
    <xf numFmtId="0" fontId="11" fillId="27" borderId="29" xfId="1" applyNumberFormat="1" applyFont="1" applyFill="1" applyBorder="1" applyAlignment="1" applyProtection="1">
      <alignment horizontal="center" vertical="center" wrapText="1"/>
    </xf>
    <xf numFmtId="0" fontId="5" fillId="27" borderId="11" xfId="0" applyFont="1" applyFill="1" applyBorder="1" applyAlignment="1" applyProtection="1">
      <alignment horizontal="center" vertical="center" wrapText="1"/>
    </xf>
    <xf numFmtId="43" fontId="2" fillId="27" borderId="29" xfId="1" applyFont="1" applyFill="1" applyBorder="1" applyAlignment="1" applyProtection="1">
      <alignment horizontal="center" vertical="center" wrapText="1"/>
    </xf>
    <xf numFmtId="43" fontId="11" fillId="28" borderId="44" xfId="1" applyNumberFormat="1" applyFont="1" applyFill="1" applyBorder="1" applyAlignment="1" applyProtection="1">
      <alignment horizontal="center" vertical="center" wrapText="1"/>
      <protection locked="0"/>
    </xf>
    <xf numFmtId="43" fontId="11" fillId="28" borderId="11" xfId="1" applyNumberFormat="1" applyFont="1" applyFill="1" applyBorder="1" applyAlignment="1" applyProtection="1">
      <alignment horizontal="center" vertical="center" wrapText="1"/>
      <protection locked="0"/>
    </xf>
    <xf numFmtId="43" fontId="11" fillId="28" borderId="29" xfId="1" applyNumberFormat="1" applyFont="1" applyFill="1" applyBorder="1" applyAlignment="1" applyProtection="1">
      <alignment horizontal="center" vertical="center" wrapText="1"/>
      <protection locked="0"/>
    </xf>
    <xf numFmtId="167" fontId="11" fillId="27" borderId="29" xfId="1" applyNumberFormat="1" applyFont="1" applyFill="1" applyBorder="1" applyAlignment="1" applyProtection="1">
      <alignment horizontal="center" vertical="center" wrapText="1"/>
    </xf>
    <xf numFmtId="0" fontId="17" fillId="14" borderId="45" xfId="0" applyFont="1" applyFill="1" applyBorder="1" applyAlignment="1">
      <alignment horizontal="center" vertical="center" wrapText="1"/>
    </xf>
    <xf numFmtId="0" fontId="11" fillId="14" borderId="24" xfId="1" applyNumberFormat="1" applyFont="1" applyFill="1" applyBorder="1" applyAlignment="1" applyProtection="1">
      <alignment horizontal="center" vertical="center" wrapText="1"/>
    </xf>
    <xf numFmtId="0" fontId="11" fillId="14" borderId="25" xfId="1" applyNumberFormat="1" applyFont="1" applyFill="1" applyBorder="1" applyAlignment="1" applyProtection="1">
      <alignment horizontal="center" vertical="center" wrapText="1"/>
    </xf>
    <xf numFmtId="0" fontId="11" fillId="14" borderId="27" xfId="1" applyNumberFormat="1" applyFont="1" applyFill="1" applyBorder="1" applyAlignment="1" applyProtection="1">
      <alignment horizontal="center" vertical="center" wrapText="1"/>
    </xf>
    <xf numFmtId="0" fontId="5" fillId="14" borderId="60" xfId="0" applyFont="1" applyFill="1" applyBorder="1" applyAlignment="1" applyProtection="1">
      <alignment horizontal="center" vertical="center" wrapText="1"/>
    </xf>
    <xf numFmtId="0" fontId="5" fillId="14" borderId="25" xfId="0" applyFont="1" applyFill="1" applyBorder="1" applyAlignment="1" applyProtection="1">
      <alignment horizontal="center" vertical="center" wrapText="1"/>
    </xf>
    <xf numFmtId="166" fontId="11" fillId="14" borderId="24" xfId="1" applyNumberFormat="1" applyFont="1" applyFill="1" applyBorder="1" applyAlignment="1" applyProtection="1">
      <alignment horizontal="center" vertical="center" wrapText="1"/>
    </xf>
    <xf numFmtId="43" fontId="2" fillId="14" borderId="27" xfId="1" applyFont="1" applyFill="1" applyBorder="1" applyAlignment="1" applyProtection="1">
      <alignment horizontal="center" vertical="center" wrapText="1"/>
    </xf>
    <xf numFmtId="167" fontId="11" fillId="14" borderId="27" xfId="1" applyNumberFormat="1" applyFont="1" applyFill="1" applyBorder="1" applyAlignment="1" applyProtection="1">
      <alignment horizontal="center" vertical="center" wrapText="1"/>
    </xf>
    <xf numFmtId="167" fontId="11" fillId="14" borderId="45" xfId="1" applyNumberFormat="1" applyFont="1" applyFill="1" applyBorder="1" applyAlignment="1" applyProtection="1">
      <alignment horizontal="center" vertical="center" wrapText="1"/>
    </xf>
    <xf numFmtId="0" fontId="5" fillId="25" borderId="11" xfId="0" applyFont="1" applyFill="1" applyBorder="1" applyAlignment="1" applyProtection="1">
      <alignment horizontal="center" vertical="center" wrapText="1"/>
    </xf>
    <xf numFmtId="0" fontId="11" fillId="27" borderId="30" xfId="1" applyNumberFormat="1" applyFont="1" applyFill="1" applyBorder="1" applyAlignment="1" applyProtection="1">
      <alignment horizontal="center" vertical="center" wrapText="1"/>
    </xf>
    <xf numFmtId="0" fontId="11" fillId="27" borderId="43" xfId="1" applyNumberFormat="1" applyFont="1" applyFill="1" applyBorder="1" applyAlignment="1" applyProtection="1">
      <alignment horizontal="center" vertical="center" wrapText="1"/>
    </xf>
    <xf numFmtId="0" fontId="5" fillId="27" borderId="46" xfId="0" applyFont="1" applyFill="1" applyBorder="1" applyAlignment="1" applyProtection="1">
      <alignment horizontal="center" vertical="center" wrapText="1"/>
    </xf>
    <xf numFmtId="0" fontId="5" fillId="27" borderId="10" xfId="0" applyFont="1" applyFill="1" applyBorder="1" applyAlignment="1" applyProtection="1">
      <alignment horizontal="center" vertical="center" wrapText="1"/>
    </xf>
    <xf numFmtId="167" fontId="11" fillId="17" borderId="57" xfId="1" applyNumberFormat="1" applyFont="1" applyFill="1" applyBorder="1" applyAlignment="1" applyProtection="1">
      <alignment horizontal="center" vertical="center" wrapText="1"/>
    </xf>
    <xf numFmtId="167" fontId="11" fillId="17" borderId="56" xfId="1" applyNumberFormat="1" applyFont="1" applyFill="1" applyBorder="1" applyAlignment="1" applyProtection="1">
      <alignment horizontal="center" vertical="center" wrapText="1"/>
    </xf>
    <xf numFmtId="167" fontId="11" fillId="17" borderId="50" xfId="1" applyNumberFormat="1" applyFont="1" applyFill="1" applyBorder="1" applyAlignment="1" applyProtection="1">
      <alignment horizontal="center" vertical="center" wrapText="1"/>
    </xf>
    <xf numFmtId="167" fontId="11" fillId="17" borderId="43" xfId="1" applyNumberFormat="1" applyFont="1" applyFill="1" applyBorder="1" applyAlignment="1" applyProtection="1">
      <alignment horizontal="center" vertical="center" wrapText="1"/>
    </xf>
    <xf numFmtId="167" fontId="11" fillId="17" borderId="59" xfId="1" applyNumberFormat="1" applyFont="1" applyFill="1" applyBorder="1" applyAlignment="1" applyProtection="1">
      <alignment horizontal="center" vertical="center" wrapText="1"/>
    </xf>
    <xf numFmtId="167" fontId="11" fillId="17" borderId="8" xfId="1" applyNumberFormat="1" applyFont="1" applyFill="1" applyBorder="1" applyAlignment="1" applyProtection="1">
      <alignment horizontal="center" vertical="center" wrapText="1"/>
    </xf>
    <xf numFmtId="166" fontId="11" fillId="17" borderId="4" xfId="1" applyNumberFormat="1" applyFont="1" applyFill="1" applyBorder="1" applyAlignment="1" applyProtection="1">
      <alignment horizontal="center" vertical="center" wrapText="1"/>
    </xf>
    <xf numFmtId="166" fontId="11" fillId="17" borderId="2" xfId="1" applyNumberFormat="1" applyFont="1" applyFill="1" applyBorder="1" applyAlignment="1" applyProtection="1">
      <alignment horizontal="center" vertical="center" wrapText="1"/>
    </xf>
    <xf numFmtId="166" fontId="11" fillId="17" borderId="9" xfId="1" applyNumberFormat="1" applyFont="1" applyFill="1" applyBorder="1" applyAlignment="1" applyProtection="1">
      <alignment horizontal="center" vertical="center" wrapText="1"/>
    </xf>
    <xf numFmtId="43" fontId="11" fillId="35" borderId="5" xfId="1" applyNumberFormat="1" applyFont="1" applyFill="1" applyBorder="1" applyAlignment="1" applyProtection="1">
      <alignment horizontal="center" vertical="center" wrapText="1"/>
      <protection locked="0"/>
    </xf>
    <xf numFmtId="43" fontId="11" fillId="35" borderId="65" xfId="1" applyNumberFormat="1" applyFont="1" applyFill="1" applyBorder="1" applyAlignment="1" applyProtection="1">
      <alignment horizontal="center" vertical="center" wrapText="1"/>
      <protection locked="0"/>
    </xf>
    <xf numFmtId="43" fontId="11" fillId="35" borderId="1" xfId="1" applyNumberFormat="1" applyFont="1" applyFill="1" applyBorder="1" applyAlignment="1" applyProtection="1">
      <alignment horizontal="center" vertical="center" wrapText="1"/>
      <protection locked="0"/>
    </xf>
    <xf numFmtId="43" fontId="11" fillId="35" borderId="18" xfId="1" applyNumberFormat="1" applyFont="1" applyFill="1" applyBorder="1" applyAlignment="1" applyProtection="1">
      <alignment horizontal="center" vertical="center" wrapText="1"/>
      <protection locked="0"/>
    </xf>
    <xf numFmtId="43" fontId="11" fillId="35" borderId="7" xfId="1" applyNumberFormat="1" applyFont="1" applyFill="1" applyBorder="1" applyAlignment="1" applyProtection="1">
      <alignment horizontal="center" vertical="center" wrapText="1"/>
      <protection locked="0"/>
    </xf>
    <xf numFmtId="43" fontId="11" fillId="35" borderId="33" xfId="1" applyNumberFormat="1" applyFont="1" applyFill="1" applyBorder="1" applyAlignment="1" applyProtection="1">
      <alignment horizontal="center" vertical="center" wrapText="1"/>
      <protection locked="0"/>
    </xf>
    <xf numFmtId="43" fontId="11" fillId="35" borderId="64" xfId="1" applyNumberFormat="1" applyFont="1" applyFill="1" applyBorder="1" applyAlignment="1" applyProtection="1">
      <alignment horizontal="center" vertical="center" wrapText="1"/>
      <protection locked="0"/>
    </xf>
    <xf numFmtId="43" fontId="11" fillId="35" borderId="20" xfId="1" applyNumberFormat="1" applyFont="1" applyFill="1" applyBorder="1" applyAlignment="1" applyProtection="1">
      <alignment horizontal="center" vertical="center" wrapText="1"/>
      <protection locked="0"/>
    </xf>
    <xf numFmtId="43" fontId="11" fillId="35" borderId="66" xfId="1" applyNumberFormat="1" applyFont="1" applyFill="1" applyBorder="1" applyAlignment="1" applyProtection="1">
      <alignment horizontal="center" vertical="center" wrapText="1"/>
      <protection locked="0"/>
    </xf>
    <xf numFmtId="43" fontId="2" fillId="17" borderId="6" xfId="1" applyFont="1" applyFill="1" applyBorder="1" applyAlignment="1" applyProtection="1">
      <alignment horizontal="center" vertical="center" wrapText="1"/>
    </xf>
    <xf numFmtId="43" fontId="2" fillId="17" borderId="3" xfId="1" applyFont="1" applyFill="1" applyBorder="1" applyAlignment="1" applyProtection="1">
      <alignment horizontal="center" vertical="center" wrapText="1"/>
    </xf>
    <xf numFmtId="43" fontId="2" fillId="17" borderId="8" xfId="1" applyFont="1" applyFill="1" applyBorder="1" applyAlignment="1" applyProtection="1">
      <alignment horizontal="center" vertical="center" wrapText="1"/>
    </xf>
    <xf numFmtId="0" fontId="11" fillId="6" borderId="63" xfId="0" applyFont="1" applyFill="1" applyBorder="1" applyAlignment="1">
      <alignment horizontal="center" vertical="center" wrapText="1"/>
    </xf>
    <xf numFmtId="0" fontId="11" fillId="6" borderId="45" xfId="0" applyFont="1" applyFill="1" applyBorder="1" applyAlignment="1">
      <alignment horizontal="center" vertical="center" wrapText="1"/>
    </xf>
    <xf numFmtId="0" fontId="12" fillId="31" borderId="36" xfId="0" applyFont="1" applyFill="1" applyBorder="1" applyAlignment="1">
      <alignment horizontal="center" vertical="center" wrapText="1"/>
    </xf>
    <xf numFmtId="0" fontId="12" fillId="4" borderId="45"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5" fillId="4" borderId="24" xfId="0" applyFont="1" applyFill="1" applyBorder="1" applyAlignment="1">
      <alignment horizontal="center" vertical="center" wrapText="1"/>
    </xf>
    <xf numFmtId="0" fontId="15" fillId="4" borderId="25" xfId="0" applyNumberFormat="1" applyFont="1" applyFill="1" applyBorder="1" applyAlignment="1">
      <alignment horizontal="center" vertical="center" wrapText="1"/>
    </xf>
    <xf numFmtId="0" fontId="15" fillId="4" borderId="27" xfId="0" applyFont="1" applyFill="1" applyBorder="1" applyAlignment="1" applyProtection="1">
      <alignment horizontal="center" vertical="center" wrapText="1"/>
    </xf>
    <xf numFmtId="0" fontId="15" fillId="4" borderId="60"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6" fillId="4" borderId="24" xfId="0" applyFont="1" applyFill="1" applyBorder="1" applyAlignment="1">
      <alignment horizontal="center" vertical="center" wrapText="1"/>
    </xf>
    <xf numFmtId="0" fontId="7" fillId="4" borderId="27" xfId="0" applyFont="1" applyFill="1" applyBorder="1" applyAlignment="1">
      <alignment horizontal="center" vertical="center" wrapText="1"/>
    </xf>
    <xf numFmtId="0" fontId="12" fillId="0" borderId="25"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7" xfId="0" applyFont="1" applyFill="1" applyBorder="1" applyAlignment="1">
      <alignment horizontal="center" vertical="center" wrapText="1"/>
    </xf>
    <xf numFmtId="43" fontId="11" fillId="12" borderId="31" xfId="1" applyNumberFormat="1" applyFont="1" applyFill="1" applyBorder="1" applyAlignment="1" applyProtection="1">
      <alignment horizontal="center" vertical="center" wrapText="1"/>
      <protection locked="0"/>
    </xf>
    <xf numFmtId="0" fontId="11" fillId="8" borderId="16" xfId="0" applyFont="1" applyFill="1" applyBorder="1" applyAlignment="1">
      <alignment horizontal="center" vertical="center"/>
    </xf>
    <xf numFmtId="0" fontId="11" fillId="8" borderId="17" xfId="0" applyFont="1" applyFill="1" applyBorder="1" applyAlignment="1">
      <alignment horizontal="center" vertical="center"/>
    </xf>
    <xf numFmtId="0" fontId="11" fillId="8" borderId="15" xfId="0" applyFont="1" applyFill="1" applyBorder="1" applyAlignment="1">
      <alignment horizontal="center" vertical="center"/>
    </xf>
    <xf numFmtId="43" fontId="2" fillId="10" borderId="56" xfId="1" applyNumberFormat="1" applyFont="1" applyFill="1" applyBorder="1" applyAlignment="1" applyProtection="1">
      <alignment horizontal="center" vertical="center" wrapText="1"/>
    </xf>
    <xf numFmtId="4" fontId="5" fillId="10" borderId="4" xfId="0" applyNumberFormat="1" applyFont="1" applyFill="1" applyBorder="1" applyAlignment="1" applyProtection="1">
      <alignment horizontal="center" vertical="center" wrapText="1"/>
    </xf>
    <xf numFmtId="4" fontId="5" fillId="10" borderId="5" xfId="0" applyNumberFormat="1" applyFont="1" applyFill="1" applyBorder="1" applyAlignment="1" applyProtection="1">
      <alignment horizontal="center" vertical="center" wrapText="1"/>
    </xf>
    <xf numFmtId="0" fontId="12" fillId="31" borderId="24" xfId="0" applyFont="1" applyFill="1" applyBorder="1" applyAlignment="1">
      <alignment horizontal="center" vertical="center" wrapText="1"/>
    </xf>
    <xf numFmtId="166" fontId="11" fillId="19" borderId="4" xfId="1" applyNumberFormat="1" applyFont="1" applyFill="1" applyBorder="1" applyAlignment="1" applyProtection="1">
      <alignment horizontal="center" vertical="center" wrapText="1"/>
    </xf>
    <xf numFmtId="166" fontId="11" fillId="25" borderId="30" xfId="1" applyNumberFormat="1" applyFont="1" applyFill="1" applyBorder="1" applyAlignment="1" applyProtection="1">
      <alignment horizontal="center" vertical="center" wrapText="1"/>
    </xf>
    <xf numFmtId="166" fontId="11" fillId="25" borderId="40" xfId="1" applyNumberFormat="1" applyFont="1" applyFill="1" applyBorder="1" applyAlignment="1" applyProtection="1">
      <alignment horizontal="center" vertical="center" wrapText="1"/>
    </xf>
    <xf numFmtId="166" fontId="11" fillId="25" borderId="28" xfId="1" applyNumberFormat="1" applyFont="1" applyFill="1" applyBorder="1" applyAlignment="1" applyProtection="1">
      <alignment horizontal="center" vertical="center" wrapText="1"/>
    </xf>
    <xf numFmtId="43" fontId="2" fillId="22" borderId="71" xfId="1" applyNumberFormat="1" applyFont="1" applyFill="1" applyBorder="1" applyAlignment="1" applyProtection="1">
      <alignment horizontal="center" vertical="center" wrapText="1"/>
    </xf>
    <xf numFmtId="166" fontId="11" fillId="19" borderId="28" xfId="1" applyNumberFormat="1" applyFont="1" applyFill="1" applyBorder="1" applyAlignment="1" applyProtection="1">
      <alignment horizontal="center" vertical="center" wrapText="1"/>
    </xf>
    <xf numFmtId="43" fontId="2" fillId="10" borderId="29" xfId="1" applyNumberFormat="1" applyFont="1" applyFill="1" applyBorder="1" applyAlignment="1" applyProtection="1">
      <alignment horizontal="center" vertical="center" wrapText="1"/>
    </xf>
    <xf numFmtId="0" fontId="5" fillId="10" borderId="10" xfId="0" applyFont="1" applyFill="1" applyBorder="1" applyAlignment="1" applyProtection="1">
      <alignment horizontal="center" vertical="center" wrapText="1"/>
    </xf>
    <xf numFmtId="43" fontId="2" fillId="10" borderId="3" xfId="1" applyNumberFormat="1" applyFont="1" applyFill="1" applyBorder="1" applyAlignment="1" applyProtection="1">
      <alignment horizontal="center" vertical="center" wrapText="1"/>
    </xf>
    <xf numFmtId="43" fontId="11" fillId="12" borderId="18" xfId="1" applyNumberFormat="1" applyFont="1" applyFill="1" applyBorder="1" applyAlignment="1" applyProtection="1">
      <alignment horizontal="center" vertical="center" wrapText="1"/>
      <protection locked="0"/>
    </xf>
    <xf numFmtId="43" fontId="11" fillId="12" borderId="70" xfId="1" applyNumberFormat="1" applyFont="1" applyFill="1" applyBorder="1" applyAlignment="1" applyProtection="1">
      <alignment horizontal="center" vertical="center" wrapText="1"/>
      <protection locked="0"/>
    </xf>
    <xf numFmtId="43" fontId="11" fillId="12" borderId="75" xfId="1" applyNumberFormat="1" applyFont="1" applyFill="1" applyBorder="1" applyAlignment="1" applyProtection="1">
      <alignment horizontal="center" vertical="center" wrapText="1"/>
      <protection locked="0"/>
    </xf>
    <xf numFmtId="167" fontId="11" fillId="10" borderId="48" xfId="1" applyNumberFormat="1" applyFont="1" applyFill="1" applyBorder="1" applyAlignment="1" applyProtection="1">
      <alignment horizontal="center" vertical="center" wrapText="1"/>
    </xf>
    <xf numFmtId="167" fontId="11" fillId="10" borderId="49" xfId="1" applyNumberFormat="1" applyFont="1" applyFill="1" applyBorder="1" applyAlignment="1" applyProtection="1">
      <alignment horizontal="center" vertical="center" wrapText="1"/>
    </xf>
    <xf numFmtId="167" fontId="11" fillId="10" borderId="50" xfId="1" applyNumberFormat="1" applyFont="1" applyFill="1" applyBorder="1" applyAlignment="1">
      <alignment horizontal="center" vertical="center" wrapText="1"/>
    </xf>
    <xf numFmtId="167" fontId="11" fillId="10" borderId="51" xfId="1" applyNumberFormat="1" applyFont="1" applyFill="1" applyBorder="1" applyAlignment="1">
      <alignment horizontal="center" vertical="center" wrapText="1"/>
    </xf>
    <xf numFmtId="0" fontId="5" fillId="10" borderId="44" xfId="0" applyFont="1" applyFill="1" applyBorder="1" applyAlignment="1" applyProtection="1">
      <alignment horizontal="center" vertical="center" wrapText="1"/>
    </xf>
    <xf numFmtId="167" fontId="11" fillId="10" borderId="49" xfId="1" applyNumberFormat="1" applyFont="1" applyFill="1" applyBorder="1" applyAlignment="1">
      <alignment horizontal="center" vertical="center" wrapText="1"/>
    </xf>
    <xf numFmtId="167" fontId="11" fillId="10" borderId="55" xfId="1" applyNumberFormat="1" applyFont="1" applyFill="1" applyBorder="1" applyAlignment="1" applyProtection="1">
      <alignment horizontal="center" vertical="center" wrapText="1"/>
    </xf>
    <xf numFmtId="167" fontId="11" fillId="10" borderId="62" xfId="1" applyNumberFormat="1" applyFont="1" applyFill="1" applyBorder="1" applyAlignment="1" applyProtection="1">
      <alignment horizontal="center" vertical="center" wrapText="1"/>
    </xf>
    <xf numFmtId="167" fontId="11" fillId="10" borderId="77" xfId="1" applyNumberFormat="1" applyFont="1" applyFill="1" applyBorder="1" applyAlignment="1">
      <alignment horizontal="center" vertical="center" wrapText="1"/>
    </xf>
    <xf numFmtId="167" fontId="11" fillId="10" borderId="12" xfId="1" applyNumberFormat="1" applyFont="1" applyFill="1" applyBorder="1" applyAlignment="1">
      <alignment horizontal="center" vertical="center" wrapText="1"/>
    </xf>
    <xf numFmtId="0" fontId="11" fillId="2" borderId="63" xfId="0" applyFont="1" applyFill="1" applyBorder="1" applyAlignment="1">
      <alignment horizontal="center" vertical="center" wrapText="1"/>
    </xf>
    <xf numFmtId="0" fontId="11" fillId="0" borderId="0" xfId="0" applyFont="1" applyFill="1" applyBorder="1" applyAlignment="1">
      <alignment horizontal="center" vertical="center"/>
    </xf>
    <xf numFmtId="0" fontId="11" fillId="0" borderId="0" xfId="0" applyFont="1" applyFill="1" applyAlignment="1">
      <alignment horizontal="center" vertical="center"/>
    </xf>
    <xf numFmtId="0" fontId="15" fillId="36" borderId="45" xfId="0" applyFont="1" applyFill="1" applyBorder="1" applyAlignment="1">
      <alignment horizontal="center" vertical="center" wrapText="1"/>
    </xf>
    <xf numFmtId="0" fontId="11" fillId="36" borderId="24" xfId="1" applyNumberFormat="1" applyFont="1" applyFill="1" applyBorder="1" applyAlignment="1" applyProtection="1">
      <alignment horizontal="center" vertical="center" wrapText="1"/>
    </xf>
    <xf numFmtId="0" fontId="11" fillId="36" borderId="25" xfId="1" applyNumberFormat="1" applyFont="1" applyFill="1" applyBorder="1" applyAlignment="1" applyProtection="1">
      <alignment horizontal="center" vertical="center" wrapText="1"/>
    </xf>
    <xf numFmtId="0" fontId="11" fillId="36" borderId="27" xfId="1" applyNumberFormat="1" applyFont="1" applyFill="1" applyBorder="1" applyAlignment="1" applyProtection="1">
      <alignment horizontal="center" vertical="center" wrapText="1"/>
    </xf>
    <xf numFmtId="0" fontId="5" fillId="36" borderId="60" xfId="0" applyFont="1" applyFill="1" applyBorder="1" applyAlignment="1" applyProtection="1">
      <alignment horizontal="center" vertical="center" wrapText="1"/>
    </xf>
    <xf numFmtId="0" fontId="5" fillId="36" borderId="25" xfId="0" applyFont="1" applyFill="1" applyBorder="1" applyAlignment="1" applyProtection="1">
      <alignment horizontal="center" vertical="center" wrapText="1"/>
    </xf>
    <xf numFmtId="166" fontId="11" fillId="9" borderId="24" xfId="1" applyNumberFormat="1" applyFont="1" applyFill="1" applyBorder="1" applyAlignment="1" applyProtection="1">
      <alignment horizontal="center" vertical="center" wrapText="1"/>
    </xf>
    <xf numFmtId="43" fontId="2" fillId="9" borderId="27" xfId="1" applyNumberFormat="1" applyFont="1" applyFill="1" applyBorder="1" applyAlignment="1" applyProtection="1">
      <alignment horizontal="center" vertical="center" wrapText="1"/>
    </xf>
    <xf numFmtId="167" fontId="11" fillId="36" borderId="8" xfId="1" applyNumberFormat="1" applyFont="1" applyFill="1" applyBorder="1" applyAlignment="1">
      <alignment horizontal="center" vertical="center" wrapText="1"/>
    </xf>
    <xf numFmtId="0" fontId="11" fillId="12" borderId="37" xfId="1" applyNumberFormat="1" applyFont="1" applyFill="1" applyBorder="1" applyAlignment="1" applyProtection="1">
      <alignment horizontal="center" vertical="center" wrapText="1"/>
    </xf>
    <xf numFmtId="0" fontId="11" fillId="12" borderId="32" xfId="1" applyNumberFormat="1" applyFont="1" applyFill="1" applyBorder="1" applyAlignment="1" applyProtection="1">
      <alignment horizontal="center" vertical="center" wrapText="1"/>
    </xf>
    <xf numFmtId="0" fontId="11" fillId="12" borderId="39" xfId="1" applyNumberFormat="1" applyFont="1" applyFill="1" applyBorder="1" applyAlignment="1" applyProtection="1">
      <alignment horizontal="center" vertical="center" wrapText="1"/>
    </xf>
    <xf numFmtId="0" fontId="5" fillId="12" borderId="47" xfId="0" applyFont="1" applyFill="1" applyBorder="1" applyAlignment="1" applyProtection="1">
      <alignment horizontal="center" vertical="center" wrapText="1"/>
    </xf>
    <xf numFmtId="0" fontId="5" fillId="12" borderId="32" xfId="0" applyFont="1" applyFill="1" applyBorder="1" applyAlignment="1" applyProtection="1">
      <alignment horizontal="center" vertical="center" wrapText="1"/>
    </xf>
    <xf numFmtId="43" fontId="11" fillId="19" borderId="13" xfId="1" applyNumberFormat="1" applyFont="1" applyFill="1" applyBorder="1" applyAlignment="1" applyProtection="1">
      <alignment horizontal="center" vertical="center" wrapText="1"/>
      <protection locked="0"/>
    </xf>
    <xf numFmtId="43" fontId="11" fillId="19" borderId="32" xfId="1" applyNumberFormat="1" applyFont="1" applyFill="1" applyBorder="1" applyAlignment="1" applyProtection="1">
      <alignment horizontal="center" vertical="center" wrapText="1"/>
      <protection locked="0"/>
    </xf>
    <xf numFmtId="43" fontId="11" fillId="19" borderId="39" xfId="1" applyNumberFormat="1" applyFont="1" applyFill="1" applyBorder="1" applyAlignment="1" applyProtection="1">
      <alignment horizontal="center" vertical="center" wrapText="1"/>
      <protection locked="0"/>
    </xf>
    <xf numFmtId="0" fontId="11" fillId="12" borderId="2" xfId="1" applyNumberFormat="1" applyFont="1" applyFill="1" applyBorder="1" applyAlignment="1" applyProtection="1">
      <alignment horizontal="center" vertical="center" wrapText="1"/>
    </xf>
    <xf numFmtId="0" fontId="11" fillId="12" borderId="1" xfId="1" applyNumberFormat="1" applyFont="1" applyFill="1" applyBorder="1" applyAlignment="1" applyProtection="1">
      <alignment horizontal="center" vertical="center" wrapText="1"/>
    </xf>
    <xf numFmtId="0" fontId="11" fillId="12" borderId="3" xfId="1" applyNumberFormat="1" applyFont="1" applyFill="1" applyBorder="1" applyAlignment="1" applyProtection="1">
      <alignment horizontal="center" vertical="center" wrapText="1"/>
    </xf>
    <xf numFmtId="0" fontId="5" fillId="12" borderId="20" xfId="0" applyFont="1" applyFill="1" applyBorder="1" applyAlignment="1" applyProtection="1">
      <alignment horizontal="center" vertical="center" wrapText="1"/>
    </xf>
    <xf numFmtId="43" fontId="11" fillId="19" borderId="3" xfId="1" applyNumberFormat="1" applyFont="1" applyFill="1" applyBorder="1" applyAlignment="1" applyProtection="1">
      <alignment horizontal="center" vertical="center" wrapText="1"/>
      <protection locked="0"/>
    </xf>
    <xf numFmtId="167" fontId="11" fillId="12" borderId="3" xfId="1" applyNumberFormat="1" applyFont="1" applyFill="1" applyBorder="1" applyAlignment="1">
      <alignment horizontal="center" vertical="center" wrapText="1"/>
    </xf>
    <xf numFmtId="0" fontId="5" fillId="22" borderId="65" xfId="0" applyFont="1" applyFill="1" applyBorder="1" applyAlignment="1" applyProtection="1">
      <alignment horizontal="center" vertical="center" wrapText="1"/>
    </xf>
    <xf numFmtId="0" fontId="5" fillId="22" borderId="31" xfId="0" applyFont="1" applyFill="1" applyBorder="1" applyAlignment="1" applyProtection="1">
      <alignment horizontal="center" vertical="center" wrapText="1"/>
    </xf>
    <xf numFmtId="0" fontId="5" fillId="22" borderId="18" xfId="0" applyFont="1" applyFill="1" applyBorder="1" applyAlignment="1" applyProtection="1">
      <alignment horizontal="center" vertical="center" wrapText="1"/>
    </xf>
    <xf numFmtId="0" fontId="5" fillId="22" borderId="33" xfId="0" applyFont="1" applyFill="1" applyBorder="1" applyAlignment="1" applyProtection="1">
      <alignment horizontal="center" vertical="center" wrapText="1"/>
    </xf>
    <xf numFmtId="0" fontId="5" fillId="10" borderId="65" xfId="0" applyNumberFormat="1" applyFont="1" applyFill="1" applyBorder="1" applyAlignment="1" applyProtection="1">
      <alignment horizontal="center" vertical="center" wrapText="1"/>
    </xf>
    <xf numFmtId="0" fontId="5" fillId="25" borderId="31" xfId="0" applyFont="1" applyFill="1" applyBorder="1" applyAlignment="1" applyProtection="1">
      <alignment horizontal="center" vertical="center" wrapText="1"/>
    </xf>
    <xf numFmtId="0" fontId="5" fillId="10" borderId="18" xfId="0" applyFont="1" applyFill="1" applyBorder="1" applyAlignment="1" applyProtection="1">
      <alignment horizontal="center" vertical="center" wrapText="1"/>
    </xf>
    <xf numFmtId="0" fontId="5" fillId="10" borderId="78" xfId="0" applyFont="1" applyFill="1" applyBorder="1" applyAlignment="1" applyProtection="1">
      <alignment horizontal="center" vertical="center" wrapText="1"/>
    </xf>
    <xf numFmtId="0" fontId="5" fillId="10" borderId="70" xfId="0" applyFont="1" applyFill="1" applyBorder="1" applyAlignment="1" applyProtection="1">
      <alignment horizontal="center" vertical="center" wrapText="1"/>
    </xf>
    <xf numFmtId="0" fontId="5" fillId="10" borderId="65" xfId="0" applyFont="1" applyFill="1" applyBorder="1" applyAlignment="1" applyProtection="1">
      <alignment horizontal="center" vertical="center" wrapText="1"/>
    </xf>
    <xf numFmtId="0" fontId="5" fillId="10" borderId="31" xfId="0" applyFont="1" applyFill="1" applyBorder="1" applyAlignment="1" applyProtection="1">
      <alignment horizontal="center" vertical="center" wrapText="1"/>
    </xf>
    <xf numFmtId="0" fontId="5" fillId="11" borderId="31" xfId="0" applyFont="1" applyFill="1" applyBorder="1" applyAlignment="1" applyProtection="1">
      <alignment horizontal="center" vertical="center" wrapText="1"/>
    </xf>
    <xf numFmtId="0" fontId="5" fillId="11" borderId="18" xfId="0" applyFont="1" applyFill="1" applyBorder="1" applyAlignment="1" applyProtection="1">
      <alignment horizontal="center" vertical="center" wrapText="1"/>
    </xf>
    <xf numFmtId="0" fontId="5" fillId="11" borderId="78" xfId="0" applyFont="1" applyFill="1" applyBorder="1" applyAlignment="1" applyProtection="1">
      <alignment horizontal="center" vertical="center" wrapText="1"/>
    </xf>
    <xf numFmtId="0" fontId="5" fillId="11" borderId="26" xfId="0" applyFont="1" applyFill="1" applyBorder="1" applyAlignment="1" applyProtection="1">
      <alignment horizontal="center" vertical="center" wrapText="1"/>
    </xf>
    <xf numFmtId="0" fontId="5" fillId="12" borderId="31" xfId="0" applyFont="1" applyFill="1" applyBorder="1" applyAlignment="1" applyProtection="1">
      <alignment horizontal="center" vertical="center" wrapText="1"/>
    </xf>
    <xf numFmtId="0" fontId="5" fillId="12" borderId="78" xfId="0" applyFont="1" applyFill="1" applyBorder="1" applyAlignment="1" applyProtection="1">
      <alignment horizontal="center" vertical="center" wrapText="1"/>
    </xf>
    <xf numFmtId="0" fontId="5" fillId="12" borderId="36" xfId="0" applyFont="1" applyFill="1" applyBorder="1" applyAlignment="1" applyProtection="1">
      <alignment horizontal="center" vertical="center" wrapText="1"/>
    </xf>
    <xf numFmtId="0" fontId="5" fillId="12" borderId="18" xfId="0" applyFont="1" applyFill="1" applyBorder="1" applyAlignment="1" applyProtection="1">
      <alignment horizontal="center" vertical="center" wrapText="1"/>
    </xf>
    <xf numFmtId="0" fontId="5" fillId="12" borderId="70" xfId="0" applyFont="1" applyFill="1" applyBorder="1" applyAlignment="1" applyProtection="1">
      <alignment horizontal="center" vertical="center" wrapText="1"/>
    </xf>
    <xf numFmtId="0" fontId="5" fillId="36" borderId="26" xfId="0" applyFont="1" applyFill="1" applyBorder="1" applyAlignment="1" applyProtection="1">
      <alignment horizontal="center" vertical="center" wrapText="1"/>
    </xf>
    <xf numFmtId="0" fontId="5" fillId="21" borderId="31" xfId="0" applyFont="1" applyFill="1" applyBorder="1" applyAlignment="1" applyProtection="1">
      <alignment horizontal="center" vertical="center" wrapText="1"/>
    </xf>
    <xf numFmtId="0" fontId="5" fillId="21" borderId="18" xfId="0" applyFont="1" applyFill="1" applyBorder="1" applyAlignment="1" applyProtection="1">
      <alignment horizontal="center" vertical="center" wrapText="1"/>
    </xf>
    <xf numFmtId="0" fontId="5" fillId="21" borderId="53" xfId="0" applyFont="1" applyFill="1" applyBorder="1" applyAlignment="1" applyProtection="1">
      <alignment horizontal="center" vertical="center" wrapText="1"/>
    </xf>
    <xf numFmtId="0" fontId="5" fillId="14" borderId="26" xfId="0" applyFont="1" applyFill="1" applyBorder="1" applyAlignment="1" applyProtection="1">
      <alignment horizontal="center" vertical="center" wrapText="1"/>
    </xf>
    <xf numFmtId="0" fontId="5" fillId="27" borderId="31" xfId="0" applyFont="1" applyFill="1" applyBorder="1" applyAlignment="1" applyProtection="1">
      <alignment horizontal="center" vertical="center" wrapText="1"/>
    </xf>
    <xf numFmtId="0" fontId="5" fillId="27" borderId="18" xfId="0" applyFont="1" applyFill="1" applyBorder="1" applyAlignment="1" applyProtection="1">
      <alignment horizontal="center" vertical="center" wrapText="1"/>
    </xf>
    <xf numFmtId="0" fontId="5" fillId="27" borderId="78" xfId="0" applyFont="1" applyFill="1" applyBorder="1" applyAlignment="1" applyProtection="1">
      <alignment horizontal="center" vertical="center" wrapText="1"/>
    </xf>
    <xf numFmtId="0" fontId="5" fillId="17" borderId="65" xfId="0" applyFont="1" applyFill="1" applyBorder="1" applyAlignment="1" applyProtection="1">
      <alignment horizontal="center" vertical="center" wrapText="1"/>
    </xf>
    <xf numFmtId="0" fontId="5" fillId="17" borderId="18" xfId="0" applyFont="1" applyFill="1" applyBorder="1" applyAlignment="1" applyProtection="1">
      <alignment horizontal="center" vertical="center" wrapText="1"/>
    </xf>
    <xf numFmtId="0" fontId="5" fillId="17" borderId="33" xfId="0" applyFont="1" applyFill="1" applyBorder="1" applyAlignment="1" applyProtection="1">
      <alignment horizontal="center" vertical="center" wrapText="1"/>
    </xf>
    <xf numFmtId="0" fontId="16" fillId="7" borderId="12" xfId="1" applyNumberFormat="1" applyFont="1" applyFill="1" applyBorder="1" applyAlignment="1">
      <alignment horizontal="center" vertical="center" wrapText="1"/>
    </xf>
    <xf numFmtId="43" fontId="11" fillId="7" borderId="4" xfId="1" applyNumberFormat="1" applyFont="1" applyFill="1" applyBorder="1" applyAlignment="1" applyProtection="1">
      <alignment horizontal="center" vertical="center" wrapText="1"/>
    </xf>
    <xf numFmtId="43" fontId="11" fillId="7" borderId="28" xfId="1" applyNumberFormat="1" applyFont="1" applyFill="1" applyBorder="1" applyAlignment="1" applyProtection="1">
      <alignment horizontal="center" vertical="center" wrapText="1"/>
    </xf>
    <xf numFmtId="43" fontId="11" fillId="7" borderId="2" xfId="1" applyNumberFormat="1" applyFont="1" applyFill="1" applyBorder="1" applyAlignment="1" applyProtection="1">
      <alignment horizontal="center" vertical="center" wrapText="1"/>
    </xf>
    <xf numFmtId="43" fontId="11" fillId="7" borderId="9" xfId="1" applyNumberFormat="1" applyFont="1" applyFill="1" applyBorder="1" applyAlignment="1" applyProtection="1">
      <alignment horizontal="center" vertical="center" wrapText="1"/>
    </xf>
    <xf numFmtId="43" fontId="11" fillId="10" borderId="2" xfId="1" applyNumberFormat="1" applyFont="1" applyFill="1" applyBorder="1" applyAlignment="1" applyProtection="1">
      <alignment horizontal="center" vertical="center" wrapText="1"/>
    </xf>
    <xf numFmtId="43" fontId="11" fillId="10" borderId="30" xfId="1" applyNumberFormat="1" applyFont="1" applyFill="1" applyBorder="1" applyAlignment="1" applyProtection="1">
      <alignment horizontal="center" vertical="center" wrapText="1"/>
    </xf>
    <xf numFmtId="43" fontId="11" fillId="10" borderId="37" xfId="1" applyNumberFormat="1" applyFont="1" applyFill="1" applyBorder="1" applyAlignment="1" applyProtection="1">
      <alignment horizontal="center" vertical="center" wrapText="1"/>
    </xf>
    <xf numFmtId="43" fontId="11" fillId="10" borderId="4" xfId="1" applyNumberFormat="1" applyFont="1" applyFill="1" applyBorder="1" applyAlignment="1" applyProtection="1">
      <alignment vertical="center" wrapText="1"/>
    </xf>
    <xf numFmtId="43" fontId="11" fillId="10" borderId="2" xfId="1" applyNumberFormat="1" applyFont="1" applyFill="1" applyBorder="1" applyAlignment="1" applyProtection="1">
      <alignment vertical="center" wrapText="1"/>
    </xf>
    <xf numFmtId="43" fontId="11" fillId="11" borderId="28" xfId="1" applyNumberFormat="1" applyFont="1" applyFill="1" applyBorder="1" applyAlignment="1" applyProtection="1">
      <alignment horizontal="center" vertical="center" wrapText="1"/>
    </xf>
    <xf numFmtId="43" fontId="11" fillId="11" borderId="2" xfId="1" applyNumberFormat="1" applyFont="1" applyFill="1" applyBorder="1" applyAlignment="1" applyProtection="1">
      <alignment horizontal="center" vertical="center" wrapText="1"/>
    </xf>
    <xf numFmtId="43" fontId="11" fillId="11" borderId="30" xfId="1" applyNumberFormat="1" applyFont="1" applyFill="1" applyBorder="1" applyAlignment="1" applyProtection="1">
      <alignment horizontal="center" vertical="center" wrapText="1"/>
    </xf>
    <xf numFmtId="43" fontId="11" fillId="11" borderId="24" xfId="1" applyNumberFormat="1" applyFont="1" applyFill="1" applyBorder="1" applyAlignment="1" applyProtection="1">
      <alignment horizontal="center" vertical="center" wrapText="1"/>
    </xf>
    <xf numFmtId="43" fontId="11" fillId="12" borderId="28" xfId="1" applyNumberFormat="1" applyFont="1" applyFill="1" applyBorder="1" applyAlignment="1" applyProtection="1">
      <alignment horizontal="center" vertical="center" wrapText="1"/>
    </xf>
    <xf numFmtId="43" fontId="11" fillId="12" borderId="30" xfId="1" applyNumberFormat="1" applyFont="1" applyFill="1" applyBorder="1" applyAlignment="1" applyProtection="1">
      <alignment horizontal="center" vertical="center" wrapText="1"/>
    </xf>
    <xf numFmtId="43" fontId="11" fillId="12" borderId="34" xfId="1" applyNumberFormat="1" applyFont="1" applyFill="1" applyBorder="1" applyAlignment="1" applyProtection="1">
      <alignment horizontal="center" vertical="center" wrapText="1"/>
    </xf>
    <xf numFmtId="43" fontId="11" fillId="12" borderId="2" xfId="1" applyNumberFormat="1" applyFont="1" applyFill="1" applyBorder="1" applyAlignment="1" applyProtection="1">
      <alignment horizontal="center" vertical="center" wrapText="1"/>
    </xf>
    <xf numFmtId="43" fontId="11" fillId="12" borderId="37" xfId="1" applyNumberFormat="1" applyFont="1" applyFill="1" applyBorder="1" applyAlignment="1" applyProtection="1">
      <alignment horizontal="center" vertical="center" wrapText="1"/>
    </xf>
    <xf numFmtId="43" fontId="11" fillId="36" borderId="24" xfId="1" applyNumberFormat="1" applyFont="1" applyFill="1" applyBorder="1" applyAlignment="1" applyProtection="1">
      <alignment horizontal="center" vertical="center" wrapText="1"/>
    </xf>
    <xf numFmtId="43" fontId="11" fillId="21" borderId="28" xfId="1" applyFont="1" applyFill="1" applyBorder="1" applyAlignment="1" applyProtection="1">
      <alignment horizontal="center" vertical="center" wrapText="1"/>
    </xf>
    <xf numFmtId="43" fontId="11" fillId="21" borderId="2" xfId="1" applyFont="1" applyFill="1" applyBorder="1" applyAlignment="1" applyProtection="1">
      <alignment horizontal="center" vertical="center" wrapText="1"/>
    </xf>
    <xf numFmtId="43" fontId="11" fillId="21" borderId="40" xfId="1" applyFont="1" applyFill="1" applyBorder="1" applyAlignment="1" applyProtection="1">
      <alignment horizontal="center" vertical="center" wrapText="1"/>
    </xf>
    <xf numFmtId="43" fontId="11" fillId="14" borderId="24" xfId="1" applyFont="1" applyFill="1" applyBorder="1" applyAlignment="1" applyProtection="1">
      <alignment horizontal="center" vertical="center" wrapText="1"/>
    </xf>
    <xf numFmtId="43" fontId="11" fillId="27" borderId="28" xfId="1" applyFont="1" applyFill="1" applyBorder="1" applyAlignment="1" applyProtection="1">
      <alignment horizontal="center" vertical="center" wrapText="1"/>
    </xf>
    <xf numFmtId="43" fontId="11" fillId="27" borderId="2" xfId="1" applyFont="1" applyFill="1" applyBorder="1" applyAlignment="1" applyProtection="1">
      <alignment horizontal="center" vertical="center" wrapText="1"/>
    </xf>
    <xf numFmtId="43" fontId="11" fillId="27" borderId="30" xfId="1" applyFont="1" applyFill="1" applyBorder="1" applyAlignment="1" applyProtection="1">
      <alignment horizontal="center" vertical="center" wrapText="1"/>
    </xf>
    <xf numFmtId="43" fontId="11" fillId="17" borderId="4" xfId="1" applyFont="1" applyFill="1" applyBorder="1" applyAlignment="1" applyProtection="1">
      <alignment horizontal="center" vertical="center" wrapText="1"/>
    </xf>
    <xf numFmtId="43" fontId="11" fillId="17" borderId="2" xfId="1" applyFont="1" applyFill="1" applyBorder="1" applyAlignment="1" applyProtection="1">
      <alignment horizontal="center" vertical="center" wrapText="1"/>
    </xf>
    <xf numFmtId="43" fontId="11" fillId="17" borderId="9" xfId="1" applyFont="1" applyFill="1" applyBorder="1" applyAlignment="1" applyProtection="1">
      <alignment horizontal="center" vertical="center" wrapText="1"/>
    </xf>
    <xf numFmtId="166" fontId="11" fillId="25" borderId="30" xfId="1" applyNumberFormat="1" applyFont="1" applyFill="1" applyBorder="1" applyAlignment="1" applyProtection="1">
      <alignment horizontal="center" vertical="center" wrapText="1"/>
    </xf>
    <xf numFmtId="0" fontId="11" fillId="10" borderId="28" xfId="1" applyNumberFormat="1" applyFont="1" applyFill="1" applyBorder="1" applyAlignment="1" applyProtection="1">
      <alignment horizontal="center" vertical="center" wrapText="1"/>
    </xf>
    <xf numFmtId="0" fontId="11" fillId="10" borderId="30" xfId="1" applyNumberFormat="1" applyFont="1" applyFill="1" applyBorder="1" applyAlignment="1" applyProtection="1">
      <alignment horizontal="center" vertical="center" wrapText="1"/>
    </xf>
    <xf numFmtId="43" fontId="2" fillId="10" borderId="56" xfId="1" applyNumberFormat="1" applyFont="1" applyFill="1" applyBorder="1" applyAlignment="1" applyProtection="1">
      <alignment horizontal="center" vertical="center" wrapText="1"/>
    </xf>
    <xf numFmtId="43" fontId="2" fillId="10" borderId="29" xfId="1" applyNumberFormat="1" applyFont="1" applyFill="1" applyBorder="1" applyAlignment="1" applyProtection="1">
      <alignment horizontal="center" vertical="center" wrapText="1"/>
    </xf>
    <xf numFmtId="166" fontId="11" fillId="10" borderId="28" xfId="1" applyNumberFormat="1" applyFont="1" applyFill="1" applyBorder="1" applyAlignment="1" applyProtection="1">
      <alignment horizontal="center" vertical="center" wrapText="1"/>
    </xf>
    <xf numFmtId="166" fontId="11" fillId="19" borderId="28" xfId="1" applyNumberFormat="1" applyFont="1" applyFill="1" applyBorder="1" applyAlignment="1" applyProtection="1">
      <alignment horizontal="center" vertical="center" wrapText="1"/>
    </xf>
    <xf numFmtId="166" fontId="11" fillId="25" borderId="37" xfId="1" applyNumberFormat="1" applyFont="1" applyFill="1" applyBorder="1" applyAlignment="1" applyProtection="1">
      <alignment horizontal="center" vertical="center" wrapText="1"/>
    </xf>
    <xf numFmtId="0" fontId="11" fillId="10" borderId="43" xfId="1" applyNumberFormat="1" applyFont="1" applyFill="1" applyBorder="1" applyAlignment="1" applyProtection="1">
      <alignment horizontal="center" vertical="center" wrapText="1"/>
    </xf>
    <xf numFmtId="0" fontId="5" fillId="10" borderId="30" xfId="0" applyFont="1" applyFill="1" applyBorder="1" applyAlignment="1" applyProtection="1">
      <alignment horizontal="center" vertical="center" wrapText="1"/>
    </xf>
    <xf numFmtId="0" fontId="11" fillId="10" borderId="21" xfId="1" applyNumberFormat="1" applyFont="1" applyFill="1" applyBorder="1" applyAlignment="1" applyProtection="1">
      <alignment horizontal="center" vertical="center" wrapText="1"/>
    </xf>
    <xf numFmtId="0" fontId="11" fillId="10" borderId="32" xfId="1" applyNumberFormat="1" applyFont="1" applyFill="1" applyBorder="1" applyAlignment="1" applyProtection="1">
      <alignment horizontal="center" vertical="center" wrapText="1"/>
    </xf>
    <xf numFmtId="0" fontId="5" fillId="10" borderId="21" xfId="0" applyFont="1" applyFill="1" applyBorder="1" applyAlignment="1" applyProtection="1">
      <alignment horizontal="center" vertical="center" wrapText="1"/>
    </xf>
    <xf numFmtId="43" fontId="2" fillId="10" borderId="29" xfId="1" applyNumberFormat="1" applyFont="1" applyFill="1" applyBorder="1" applyAlignment="1" applyProtection="1">
      <alignment horizontal="center" vertical="center" wrapText="1"/>
    </xf>
    <xf numFmtId="166" fontId="11" fillId="10" borderId="28" xfId="1" applyNumberFormat="1" applyFont="1" applyFill="1" applyBorder="1" applyAlignment="1" applyProtection="1">
      <alignment horizontal="center" vertical="center" wrapText="1"/>
    </xf>
    <xf numFmtId="0" fontId="11" fillId="8" borderId="17" xfId="0" applyFont="1" applyFill="1" applyBorder="1" applyAlignment="1">
      <alignment horizontal="center" vertical="center"/>
    </xf>
    <xf numFmtId="0" fontId="11" fillId="10" borderId="28" xfId="1" applyNumberFormat="1" applyFont="1" applyFill="1" applyBorder="1" applyAlignment="1" applyProtection="1">
      <alignment horizontal="center" vertical="center" wrapText="1"/>
    </xf>
    <xf numFmtId="0" fontId="11" fillId="27" borderId="21" xfId="1" applyNumberFormat="1" applyFont="1" applyFill="1" applyBorder="1" applyAlignment="1" applyProtection="1">
      <alignment horizontal="center" vertical="center" wrapText="1"/>
    </xf>
    <xf numFmtId="0" fontId="11" fillId="10" borderId="10" xfId="1" applyNumberFormat="1" applyFont="1" applyFill="1" applyBorder="1" applyAlignment="1" applyProtection="1">
      <alignment horizontal="center" vertical="center" wrapText="1"/>
    </xf>
    <xf numFmtId="167" fontId="11" fillId="10" borderId="48" xfId="1" applyNumberFormat="1" applyFont="1" applyFill="1" applyBorder="1" applyAlignment="1">
      <alignment horizontal="center" vertical="center" wrapText="1"/>
    </xf>
    <xf numFmtId="167" fontId="11" fillId="10" borderId="52" xfId="1" applyNumberFormat="1" applyFont="1" applyFill="1" applyBorder="1" applyAlignment="1" applyProtection="1">
      <alignment horizontal="center" vertical="center" wrapText="1"/>
    </xf>
    <xf numFmtId="0" fontId="11" fillId="10" borderId="18" xfId="1" applyNumberFormat="1" applyFont="1" applyFill="1" applyBorder="1" applyAlignment="1" applyProtection="1">
      <alignment horizontal="center" vertical="center" wrapText="1"/>
    </xf>
    <xf numFmtId="0" fontId="17" fillId="37" borderId="45" xfId="0" applyFont="1" applyFill="1" applyBorder="1" applyAlignment="1">
      <alignment horizontal="center" vertical="center" wrapText="1"/>
    </xf>
    <xf numFmtId="0" fontId="11" fillId="37" borderId="24" xfId="1" applyNumberFormat="1" applyFont="1" applyFill="1" applyBorder="1" applyAlignment="1" applyProtection="1">
      <alignment horizontal="center" vertical="center" wrapText="1"/>
    </xf>
    <xf numFmtId="0" fontId="11" fillId="37" borderId="25" xfId="1" applyNumberFormat="1" applyFont="1" applyFill="1" applyBorder="1" applyAlignment="1" applyProtection="1">
      <alignment horizontal="center" vertical="center" wrapText="1"/>
    </xf>
    <xf numFmtId="0" fontId="11" fillId="37" borderId="27" xfId="1" applyNumberFormat="1" applyFont="1" applyFill="1" applyBorder="1" applyAlignment="1" applyProtection="1">
      <alignment horizontal="center" vertical="center" wrapText="1"/>
    </xf>
    <xf numFmtId="0" fontId="5" fillId="37" borderId="60" xfId="0" applyFont="1" applyFill="1" applyBorder="1" applyAlignment="1" applyProtection="1">
      <alignment horizontal="center" vertical="center" wrapText="1"/>
    </xf>
    <xf numFmtId="0" fontId="5" fillId="37" borderId="25" xfId="0" applyFont="1" applyFill="1" applyBorder="1" applyAlignment="1" applyProtection="1">
      <alignment horizontal="center" vertical="center" wrapText="1"/>
    </xf>
    <xf numFmtId="0" fontId="5" fillId="37" borderId="26" xfId="0" applyFont="1" applyFill="1" applyBorder="1" applyAlignment="1" applyProtection="1">
      <alignment horizontal="center" vertical="center" wrapText="1"/>
    </xf>
    <xf numFmtId="43" fontId="11" fillId="37" borderId="24" xfId="1" applyFont="1" applyFill="1" applyBorder="1" applyAlignment="1" applyProtection="1">
      <alignment horizontal="center" vertical="center" wrapText="1"/>
    </xf>
    <xf numFmtId="166" fontId="11" fillId="37" borderId="24" xfId="1" applyNumberFormat="1" applyFont="1" applyFill="1" applyBorder="1" applyAlignment="1" applyProtection="1">
      <alignment horizontal="center" vertical="center" wrapText="1"/>
    </xf>
    <xf numFmtId="43" fontId="2" fillId="37" borderId="27" xfId="1" applyFont="1" applyFill="1" applyBorder="1" applyAlignment="1" applyProtection="1">
      <alignment horizontal="center" vertical="center" wrapText="1"/>
    </xf>
    <xf numFmtId="43" fontId="11" fillId="38" borderId="60" xfId="1" applyNumberFormat="1" applyFont="1" applyFill="1" applyBorder="1" applyAlignment="1" applyProtection="1">
      <alignment horizontal="center" vertical="center" wrapText="1"/>
      <protection locked="0"/>
    </xf>
    <xf numFmtId="43" fontId="11" fillId="38" borderId="25" xfId="1" applyNumberFormat="1" applyFont="1" applyFill="1" applyBorder="1" applyAlignment="1" applyProtection="1">
      <alignment horizontal="center" vertical="center" wrapText="1"/>
      <protection locked="0"/>
    </xf>
    <xf numFmtId="43" fontId="11" fillId="38" borderId="27" xfId="1" applyNumberFormat="1" applyFont="1" applyFill="1" applyBorder="1" applyAlignment="1" applyProtection="1">
      <alignment horizontal="center" vertical="center" wrapText="1"/>
      <protection locked="0"/>
    </xf>
    <xf numFmtId="167" fontId="11" fillId="37" borderId="59" xfId="1" applyNumberFormat="1" applyFont="1" applyFill="1" applyBorder="1" applyAlignment="1" applyProtection="1">
      <alignment horizontal="center" vertical="center" wrapText="1"/>
    </xf>
    <xf numFmtId="167" fontId="11" fillId="37" borderId="8" xfId="1" applyNumberFormat="1" applyFont="1" applyFill="1" applyBorder="1" applyAlignment="1" applyProtection="1">
      <alignment horizontal="center" vertical="center" wrapText="1"/>
    </xf>
    <xf numFmtId="0" fontId="11" fillId="17" borderId="5" xfId="1" applyNumberFormat="1" applyFont="1" applyFill="1" applyBorder="1" applyAlignment="1" applyProtection="1">
      <alignment horizontal="center" vertical="center" wrapText="1"/>
    </xf>
    <xf numFmtId="0" fontId="11" fillId="17" borderId="1" xfId="1" applyNumberFormat="1" applyFont="1" applyFill="1" applyBorder="1" applyAlignment="1" applyProtection="1">
      <alignment horizontal="center" vertical="center" wrapText="1"/>
    </xf>
    <xf numFmtId="0" fontId="11" fillId="17" borderId="7" xfId="1" applyNumberFormat="1" applyFont="1" applyFill="1" applyBorder="1" applyAlignment="1" applyProtection="1">
      <alignment horizontal="center" vertical="center" wrapText="1"/>
    </xf>
    <xf numFmtId="0" fontId="11" fillId="8" borderId="17" xfId="0" applyFont="1" applyFill="1" applyBorder="1" applyAlignment="1">
      <alignment horizontal="center" vertical="center"/>
    </xf>
    <xf numFmtId="0" fontId="11" fillId="10" borderId="32" xfId="1" applyNumberFormat="1" applyFont="1" applyFill="1" applyBorder="1" applyAlignment="1" applyProtection="1">
      <alignment horizontal="center" vertical="center" wrapText="1"/>
    </xf>
    <xf numFmtId="165" fontId="16" fillId="7" borderId="12" xfId="1" applyNumberFormat="1" applyFont="1" applyFill="1" applyBorder="1" applyAlignment="1">
      <alignment horizontal="center" vertical="center" wrapText="1"/>
    </xf>
    <xf numFmtId="0" fontId="12" fillId="4" borderId="22" xfId="0" applyFont="1" applyFill="1" applyBorder="1" applyAlignment="1">
      <alignment horizontal="center" vertical="center"/>
    </xf>
    <xf numFmtId="165" fontId="12" fillId="0" borderId="12" xfId="1" applyNumberFormat="1" applyFont="1" applyFill="1" applyBorder="1" applyAlignment="1">
      <alignment horizontal="center" vertical="center"/>
    </xf>
    <xf numFmtId="0" fontId="11" fillId="10" borderId="70" xfId="1" applyNumberFormat="1" applyFont="1" applyFill="1" applyBorder="1" applyAlignment="1" applyProtection="1">
      <alignment horizontal="center" vertical="center" wrapText="1"/>
    </xf>
    <xf numFmtId="0" fontId="11" fillId="8" borderId="17" xfId="0" applyFont="1" applyFill="1" applyBorder="1" applyAlignment="1">
      <alignment horizontal="center" vertical="center"/>
    </xf>
    <xf numFmtId="165" fontId="24" fillId="0" borderId="57" xfId="1" applyNumberFormat="1" applyFont="1" applyFill="1" applyBorder="1" applyAlignment="1">
      <alignment horizontal="center" vertical="center"/>
    </xf>
    <xf numFmtId="165" fontId="24" fillId="0" borderId="51" xfId="1" applyNumberFormat="1" applyFont="1" applyFill="1" applyBorder="1" applyAlignment="1">
      <alignment horizontal="center" vertical="center"/>
    </xf>
    <xf numFmtId="0" fontId="5" fillId="22" borderId="1" xfId="0" applyFont="1" applyFill="1" applyBorder="1" applyAlignment="1" applyProtection="1">
      <alignment horizontal="center" vertical="center" wrapText="1"/>
    </xf>
    <xf numFmtId="0" fontId="5" fillId="10" borderId="32" xfId="0" applyFont="1" applyFill="1" applyBorder="1" applyAlignment="1" applyProtection="1">
      <alignment horizontal="center" vertical="center" wrapText="1"/>
    </xf>
    <xf numFmtId="43" fontId="11" fillId="35" borderId="32" xfId="1" applyNumberFormat="1" applyFont="1" applyFill="1" applyBorder="1" applyAlignment="1" applyProtection="1">
      <alignment horizontal="center" vertical="center" wrapText="1"/>
      <protection locked="0"/>
    </xf>
    <xf numFmtId="43" fontId="11" fillId="25" borderId="5" xfId="1" applyNumberFormat="1" applyFont="1" applyFill="1" applyBorder="1" applyAlignment="1" applyProtection="1">
      <alignment horizontal="center" vertical="center" wrapText="1"/>
      <protection locked="0"/>
    </xf>
    <xf numFmtId="43" fontId="11" fillId="25" borderId="1" xfId="1" applyNumberFormat="1" applyFont="1" applyFill="1" applyBorder="1" applyAlignment="1" applyProtection="1">
      <alignment horizontal="center" vertical="center" wrapText="1"/>
      <protection locked="0"/>
    </xf>
    <xf numFmtId="43" fontId="11" fillId="25" borderId="7" xfId="1" applyNumberFormat="1" applyFont="1" applyFill="1" applyBorder="1" applyAlignment="1" applyProtection="1">
      <alignment horizontal="center" vertical="center" wrapText="1"/>
      <protection locked="0"/>
    </xf>
    <xf numFmtId="43" fontId="11" fillId="25" borderId="11" xfId="1" applyNumberFormat="1" applyFont="1" applyFill="1" applyBorder="1" applyAlignment="1" applyProtection="1">
      <alignment horizontal="center" vertical="center" wrapText="1"/>
      <protection locked="0"/>
    </xf>
    <xf numFmtId="43" fontId="11" fillId="25" borderId="20" xfId="1" applyNumberFormat="1" applyFont="1" applyFill="1" applyBorder="1" applyAlignment="1" applyProtection="1">
      <alignment horizontal="center" vertical="center" wrapText="1"/>
      <protection locked="0"/>
    </xf>
    <xf numFmtId="43" fontId="11" fillId="32" borderId="21" xfId="1" applyNumberFormat="1" applyFont="1" applyFill="1" applyBorder="1" applyAlignment="1" applyProtection="1">
      <alignment horizontal="center" vertical="center" wrapText="1"/>
      <protection locked="0"/>
    </xf>
    <xf numFmtId="43" fontId="11" fillId="32" borderId="10" xfId="1" applyNumberFormat="1" applyFont="1" applyFill="1" applyBorder="1" applyAlignment="1" applyProtection="1">
      <alignment horizontal="center" vertical="center" wrapText="1"/>
      <protection locked="0"/>
    </xf>
    <xf numFmtId="0" fontId="5" fillId="17" borderId="5" xfId="0" applyFont="1" applyFill="1" applyBorder="1" applyAlignment="1" applyProtection="1">
      <alignment horizontal="center" vertical="center" wrapText="1"/>
    </xf>
    <xf numFmtId="0" fontId="5" fillId="17" borderId="1" xfId="0" applyFont="1" applyFill="1" applyBorder="1" applyAlignment="1" applyProtection="1">
      <alignment horizontal="center" vertical="center" wrapText="1"/>
    </xf>
    <xf numFmtId="0" fontId="5" fillId="17" borderId="7" xfId="0" applyFont="1" applyFill="1" applyBorder="1" applyAlignment="1" applyProtection="1">
      <alignment horizontal="center" vertical="center" wrapText="1"/>
    </xf>
    <xf numFmtId="43" fontId="11" fillId="24" borderId="32" xfId="1" applyNumberFormat="1" applyFont="1" applyFill="1" applyBorder="1" applyAlignment="1" applyProtection="1">
      <alignment horizontal="center" vertical="center" wrapText="1"/>
      <protection locked="0"/>
    </xf>
    <xf numFmtId="43" fontId="11" fillId="9" borderId="22" xfId="1" applyNumberFormat="1" applyFont="1" applyFill="1" applyBorder="1" applyAlignment="1" applyProtection="1">
      <alignment horizontal="center" vertical="center" wrapText="1"/>
      <protection locked="0"/>
    </xf>
    <xf numFmtId="43" fontId="11" fillId="9" borderId="35" xfId="1" applyNumberFormat="1" applyFont="1" applyFill="1" applyBorder="1" applyAlignment="1" applyProtection="1">
      <alignment horizontal="center" vertical="center" wrapText="1"/>
      <protection locked="0"/>
    </xf>
    <xf numFmtId="43" fontId="11" fillId="9" borderId="56" xfId="1" applyNumberFormat="1" applyFont="1" applyFill="1" applyBorder="1" applyAlignment="1" applyProtection="1">
      <alignment horizontal="center" vertical="center" wrapText="1"/>
      <protection locked="0"/>
    </xf>
    <xf numFmtId="43" fontId="11" fillId="23" borderId="43" xfId="1" applyNumberFormat="1" applyFont="1" applyFill="1" applyBorder="1" applyAlignment="1" applyProtection="1">
      <alignment horizontal="center" vertical="center" wrapText="1"/>
      <protection locked="0"/>
    </xf>
    <xf numFmtId="43" fontId="11" fillId="31" borderId="44" xfId="1" applyNumberFormat="1" applyFont="1" applyFill="1" applyBorder="1" applyAlignment="1" applyProtection="1">
      <alignment horizontal="center" vertical="center" wrapText="1"/>
      <protection locked="0"/>
    </xf>
    <xf numFmtId="43" fontId="11" fillId="14" borderId="47" xfId="1" applyNumberFormat="1" applyFont="1" applyFill="1" applyBorder="1" applyAlignment="1" applyProtection="1">
      <alignment horizontal="center" vertical="center" wrapText="1"/>
      <protection locked="0"/>
    </xf>
    <xf numFmtId="43" fontId="11" fillId="14" borderId="32" xfId="1" applyNumberFormat="1" applyFont="1" applyFill="1" applyBorder="1" applyAlignment="1" applyProtection="1">
      <alignment horizontal="center" vertical="center" wrapText="1"/>
      <protection locked="0"/>
    </xf>
    <xf numFmtId="43" fontId="11" fillId="24" borderId="39" xfId="1" applyNumberFormat="1" applyFont="1" applyFill="1" applyBorder="1" applyAlignment="1" applyProtection="1">
      <alignment horizontal="center" vertical="center" wrapText="1"/>
      <protection locked="0"/>
    </xf>
    <xf numFmtId="43" fontId="11" fillId="23" borderId="25" xfId="1" applyNumberFormat="1" applyFont="1" applyFill="1" applyBorder="1" applyAlignment="1" applyProtection="1">
      <alignment horizontal="center" vertical="center" wrapText="1"/>
      <protection locked="0"/>
    </xf>
    <xf numFmtId="43" fontId="11" fillId="31" borderId="25" xfId="1" applyNumberFormat="1" applyFont="1" applyFill="1" applyBorder="1" applyAlignment="1" applyProtection="1">
      <alignment horizontal="center" vertical="center" wrapText="1"/>
      <protection locked="0"/>
    </xf>
    <xf numFmtId="43" fontId="11" fillId="23" borderId="27" xfId="1" applyNumberFormat="1" applyFont="1" applyFill="1" applyBorder="1" applyAlignment="1" applyProtection="1">
      <alignment horizontal="center" vertical="center" wrapText="1"/>
      <protection locked="0"/>
    </xf>
    <xf numFmtId="43" fontId="11" fillId="23" borderId="24" xfId="1" applyNumberFormat="1" applyFont="1" applyFill="1" applyBorder="1" applyAlignment="1" applyProtection="1">
      <alignment horizontal="center" vertical="center" wrapText="1"/>
      <protection locked="0"/>
    </xf>
    <xf numFmtId="43" fontId="11" fillId="23" borderId="60" xfId="1" applyNumberFormat="1" applyFont="1" applyFill="1" applyBorder="1" applyAlignment="1" applyProtection="1">
      <alignment horizontal="center" vertical="center" wrapText="1"/>
      <protection locked="0"/>
    </xf>
    <xf numFmtId="43" fontId="11" fillId="23" borderId="55" xfId="1" applyNumberFormat="1" applyFont="1" applyFill="1" applyBorder="1" applyAlignment="1" applyProtection="1">
      <alignment horizontal="center" vertical="center" wrapText="1"/>
      <protection locked="0"/>
    </xf>
    <xf numFmtId="43" fontId="11" fillId="23" borderId="74" xfId="1" applyNumberFormat="1" applyFont="1" applyFill="1" applyBorder="1" applyAlignment="1" applyProtection="1">
      <alignment horizontal="center" vertical="center" wrapText="1"/>
      <protection locked="0"/>
    </xf>
    <xf numFmtId="43" fontId="11" fillId="23" borderId="5" xfId="1" applyNumberFormat="1" applyFont="1" applyFill="1" applyBorder="1" applyAlignment="1" applyProtection="1">
      <alignment horizontal="center" vertical="center" wrapText="1"/>
      <protection locked="0"/>
    </xf>
    <xf numFmtId="43" fontId="11" fillId="23" borderId="6" xfId="1" applyNumberFormat="1" applyFont="1" applyFill="1" applyBorder="1" applyAlignment="1" applyProtection="1">
      <alignment horizontal="center" vertical="center" wrapText="1"/>
      <protection locked="0"/>
    </xf>
    <xf numFmtId="0" fontId="15" fillId="0" borderId="0" xfId="0" applyFont="1" applyAlignment="1">
      <alignment horizontal="center" vertical="center"/>
    </xf>
    <xf numFmtId="0" fontId="15" fillId="4" borderId="49" xfId="0" applyFont="1" applyFill="1" applyBorder="1" applyAlignment="1">
      <alignment horizontal="center" vertical="center"/>
    </xf>
    <xf numFmtId="167" fontId="15" fillId="0" borderId="2" xfId="0" applyNumberFormat="1" applyFont="1" applyBorder="1" applyAlignment="1">
      <alignment horizontal="center" vertical="center"/>
    </xf>
    <xf numFmtId="9" fontId="15" fillId="0" borderId="3" xfId="2" applyNumberFormat="1" applyFont="1" applyBorder="1" applyAlignment="1">
      <alignment horizontal="center" vertical="center"/>
    </xf>
    <xf numFmtId="9" fontId="15" fillId="0" borderId="3" xfId="2" applyFont="1" applyBorder="1" applyAlignment="1">
      <alignment horizontal="center" vertical="center"/>
    </xf>
    <xf numFmtId="9" fontId="15" fillId="12" borderId="3" xfId="2" applyFont="1" applyFill="1" applyBorder="1" applyAlignment="1">
      <alignment horizontal="center" vertical="center"/>
    </xf>
    <xf numFmtId="0" fontId="15" fillId="4" borderId="59" xfId="0" applyFont="1" applyFill="1" applyBorder="1" applyAlignment="1">
      <alignment horizontal="center" vertical="center"/>
    </xf>
    <xf numFmtId="167" fontId="15" fillId="0" borderId="9" xfId="0" applyNumberFormat="1" applyFont="1" applyBorder="1" applyAlignment="1">
      <alignment horizontal="center" vertical="center"/>
    </xf>
    <xf numFmtId="9" fontId="15" fillId="0" borderId="8" xfId="2" applyNumberFormat="1" applyFont="1" applyBorder="1" applyAlignment="1">
      <alignment horizontal="center" vertical="center"/>
    </xf>
    <xf numFmtId="9" fontId="15" fillId="0" borderId="8" xfId="2" applyFont="1" applyBorder="1" applyAlignment="1">
      <alignment horizontal="center" vertical="center"/>
    </xf>
    <xf numFmtId="0" fontId="15" fillId="4" borderId="52" xfId="0" applyFont="1" applyFill="1" applyBorder="1" applyAlignment="1">
      <alignment horizontal="center" vertical="center"/>
    </xf>
    <xf numFmtId="167" fontId="15" fillId="0" borderId="28" xfId="0" applyNumberFormat="1" applyFont="1" applyBorder="1" applyAlignment="1">
      <alignment horizontal="center" vertical="center"/>
    </xf>
    <xf numFmtId="9" fontId="15" fillId="0" borderId="29" xfId="2" applyNumberFormat="1" applyFont="1" applyBorder="1" applyAlignment="1">
      <alignment horizontal="center" vertical="center"/>
    </xf>
    <xf numFmtId="9" fontId="15" fillId="0" borderId="29" xfId="2" applyFont="1" applyBorder="1" applyAlignment="1">
      <alignment horizontal="center" vertical="center"/>
    </xf>
    <xf numFmtId="0" fontId="15" fillId="0" borderId="45" xfId="0" applyFont="1" applyBorder="1" applyAlignment="1">
      <alignment horizontal="center" vertical="center"/>
    </xf>
    <xf numFmtId="0" fontId="15" fillId="0" borderId="24" xfId="0" applyFont="1" applyBorder="1" applyAlignment="1">
      <alignment horizontal="center" vertical="center"/>
    </xf>
    <xf numFmtId="0" fontId="15" fillId="0" borderId="27" xfId="0" applyFont="1" applyBorder="1" applyAlignment="1">
      <alignment horizontal="center" vertical="center"/>
    </xf>
    <xf numFmtId="0" fontId="12" fillId="0" borderId="45" xfId="0" applyFont="1" applyBorder="1" applyAlignment="1">
      <alignment horizontal="center" vertical="center"/>
    </xf>
    <xf numFmtId="167" fontId="12" fillId="0" borderId="45" xfId="0" applyNumberFormat="1" applyFont="1" applyBorder="1" applyAlignment="1">
      <alignment horizontal="center" vertical="center"/>
    </xf>
    <xf numFmtId="43" fontId="11" fillId="31" borderId="32" xfId="1" applyNumberFormat="1" applyFont="1" applyFill="1" applyBorder="1" applyAlignment="1" applyProtection="1">
      <alignment horizontal="center" vertical="center" wrapText="1"/>
      <protection locked="0"/>
    </xf>
    <xf numFmtId="167" fontId="11" fillId="0" borderId="0" xfId="0" applyNumberFormat="1" applyFont="1" applyAlignment="1">
      <alignment horizontal="center" vertical="center"/>
    </xf>
    <xf numFmtId="0" fontId="4" fillId="0" borderId="48" xfId="1" applyNumberFormat="1" applyFont="1" applyFill="1" applyBorder="1" applyAlignment="1" applyProtection="1">
      <alignment horizontal="center" vertical="center" wrapText="1"/>
      <protection locked="0"/>
    </xf>
    <xf numFmtId="0" fontId="4" fillId="0" borderId="49" xfId="1" applyNumberFormat="1" applyFont="1" applyFill="1" applyBorder="1" applyAlignment="1" applyProtection="1">
      <alignment horizontal="center" vertical="center" wrapText="1"/>
      <protection locked="0"/>
    </xf>
    <xf numFmtId="0" fontId="4" fillId="0" borderId="59" xfId="1" applyNumberFormat="1" applyFont="1" applyFill="1" applyBorder="1" applyAlignment="1" applyProtection="1">
      <alignment horizontal="center" vertical="center" wrapText="1"/>
      <protection locked="0"/>
    </xf>
    <xf numFmtId="0" fontId="8" fillId="27" borderId="4" xfId="0" applyFont="1" applyFill="1" applyBorder="1" applyAlignment="1">
      <alignment horizontal="center" vertical="center" wrapText="1"/>
    </xf>
    <xf numFmtId="0" fontId="8" fillId="27" borderId="2" xfId="0" applyFont="1" applyFill="1" applyBorder="1" applyAlignment="1">
      <alignment horizontal="center" vertical="center" wrapText="1"/>
    </xf>
    <xf numFmtId="0" fontId="8" fillId="27" borderId="9" xfId="0" applyFont="1" applyFill="1" applyBorder="1" applyAlignment="1">
      <alignment horizontal="center" vertical="center" wrapText="1"/>
    </xf>
    <xf numFmtId="0" fontId="8" fillId="29" borderId="55" xfId="0" applyFont="1" applyFill="1" applyBorder="1" applyAlignment="1">
      <alignment horizontal="center" vertical="center" wrapText="1"/>
    </xf>
    <xf numFmtId="0" fontId="8" fillId="29" borderId="62" xfId="0" applyFont="1" applyFill="1" applyBorder="1" applyAlignment="1">
      <alignment horizontal="center" vertical="center" wrapText="1"/>
    </xf>
    <xf numFmtId="0" fontId="8" fillId="29" borderId="58" xfId="0" applyFont="1" applyFill="1" applyBorder="1" applyAlignment="1">
      <alignment horizontal="center" vertical="center" wrapText="1"/>
    </xf>
    <xf numFmtId="0" fontId="6" fillId="29" borderId="4" xfId="0" applyFont="1" applyFill="1" applyBorder="1" applyAlignment="1">
      <alignment horizontal="center" vertical="center" wrapText="1"/>
    </xf>
    <xf numFmtId="0" fontId="6" fillId="29" borderId="2" xfId="0" applyFont="1" applyFill="1" applyBorder="1" applyAlignment="1">
      <alignment horizontal="center" vertical="center" wrapText="1"/>
    </xf>
    <xf numFmtId="0" fontId="6" fillId="29" borderId="9" xfId="0" applyFont="1" applyFill="1" applyBorder="1" applyAlignment="1">
      <alignment horizontal="center" vertical="center" wrapText="1"/>
    </xf>
    <xf numFmtId="0" fontId="8" fillId="14" borderId="55" xfId="0" applyFont="1" applyFill="1" applyBorder="1" applyAlignment="1">
      <alignment horizontal="center" vertical="center" wrapText="1"/>
    </xf>
    <xf numFmtId="0" fontId="8" fillId="14" borderId="58" xfId="0" applyFont="1" applyFill="1" applyBorder="1" applyAlignment="1">
      <alignment horizontal="center" vertical="center" wrapText="1"/>
    </xf>
    <xf numFmtId="0" fontId="6" fillId="14" borderId="4" xfId="0" applyFont="1" applyFill="1" applyBorder="1" applyAlignment="1">
      <alignment horizontal="center" vertical="center" wrapText="1"/>
    </xf>
    <xf numFmtId="0" fontId="6" fillId="14" borderId="9" xfId="0" applyFont="1" applyFill="1" applyBorder="1" applyAlignment="1">
      <alignment horizontal="center" vertical="center" wrapText="1"/>
    </xf>
    <xf numFmtId="0" fontId="3" fillId="27" borderId="5" xfId="1" applyNumberFormat="1" applyFont="1" applyFill="1" applyBorder="1" applyAlignment="1" applyProtection="1">
      <alignment horizontal="center" vertical="center" wrapText="1"/>
    </xf>
    <xf numFmtId="0" fontId="3" fillId="27" borderId="1" xfId="1" applyNumberFormat="1" applyFont="1" applyFill="1" applyBorder="1" applyAlignment="1" applyProtection="1">
      <alignment horizontal="center" vertical="center" wrapText="1"/>
    </xf>
    <xf numFmtId="0" fontId="3" fillId="27" borderId="7" xfId="1" applyNumberFormat="1" applyFont="1" applyFill="1" applyBorder="1" applyAlignment="1" applyProtection="1">
      <alignment horizontal="center" vertical="center" wrapText="1"/>
    </xf>
    <xf numFmtId="0" fontId="3" fillId="27" borderId="6" xfId="1" applyNumberFormat="1" applyFont="1" applyFill="1" applyBorder="1" applyAlignment="1" applyProtection="1">
      <alignment horizontal="center" vertical="center" wrapText="1"/>
    </xf>
    <xf numFmtId="0" fontId="3" fillId="27" borderId="3" xfId="1" applyNumberFormat="1" applyFont="1" applyFill="1" applyBorder="1" applyAlignment="1" applyProtection="1">
      <alignment horizontal="center" vertical="center" wrapText="1"/>
    </xf>
    <xf numFmtId="0" fontId="3" fillId="27" borderId="8" xfId="1" applyNumberFormat="1" applyFont="1" applyFill="1" applyBorder="1" applyAlignment="1" applyProtection="1">
      <alignment horizontal="center" vertical="center" wrapText="1"/>
    </xf>
    <xf numFmtId="0" fontId="4" fillId="27" borderId="4" xfId="0" applyFont="1" applyFill="1" applyBorder="1" applyAlignment="1" applyProtection="1">
      <alignment horizontal="center" vertical="center" wrapText="1"/>
    </xf>
    <xf numFmtId="0" fontId="4" fillId="27" borderId="2" xfId="0" applyFont="1" applyFill="1" applyBorder="1" applyAlignment="1" applyProtection="1">
      <alignment horizontal="center" vertical="center" wrapText="1"/>
    </xf>
    <xf numFmtId="0" fontId="4" fillId="27" borderId="9" xfId="0" applyFont="1" applyFill="1" applyBorder="1" applyAlignment="1" applyProtection="1">
      <alignment horizontal="center" vertical="center" wrapText="1"/>
    </xf>
    <xf numFmtId="4" fontId="3" fillId="27" borderId="5" xfId="1" applyNumberFormat="1" applyFont="1" applyFill="1" applyBorder="1" applyAlignment="1" applyProtection="1">
      <alignment horizontal="center" vertical="center" wrapText="1"/>
    </xf>
    <xf numFmtId="4" fontId="3" fillId="27" borderId="1" xfId="1" applyNumberFormat="1" applyFont="1" applyFill="1" applyBorder="1" applyAlignment="1" applyProtection="1">
      <alignment horizontal="center" vertical="center" wrapText="1"/>
    </xf>
    <xf numFmtId="4" fontId="3" fillId="27" borderId="10" xfId="1" applyNumberFormat="1" applyFont="1" applyFill="1" applyBorder="1" applyAlignment="1" applyProtection="1">
      <alignment horizontal="center" vertical="center" wrapText="1"/>
    </xf>
    <xf numFmtId="0" fontId="3" fillId="27" borderId="72" xfId="1" applyNumberFormat="1" applyFont="1" applyFill="1" applyBorder="1" applyAlignment="1" applyProtection="1">
      <alignment horizontal="center" vertical="center" wrapText="1"/>
    </xf>
    <xf numFmtId="0" fontId="3" fillId="27" borderId="41" xfId="1" applyNumberFormat="1" applyFont="1" applyFill="1" applyBorder="1" applyAlignment="1" applyProtection="1">
      <alignment horizontal="center" vertical="center" wrapText="1"/>
    </xf>
    <xf numFmtId="0" fontId="3" fillId="27" borderId="69" xfId="1" applyNumberFormat="1" applyFont="1" applyFill="1" applyBorder="1" applyAlignment="1" applyProtection="1">
      <alignment horizontal="center" vertical="center" wrapText="1"/>
    </xf>
    <xf numFmtId="168" fontId="4" fillId="27" borderId="35" xfId="1" applyNumberFormat="1" applyFont="1" applyFill="1" applyBorder="1" applyAlignment="1" applyProtection="1">
      <alignment horizontal="center" vertical="center" wrapText="1"/>
    </xf>
    <xf numFmtId="168" fontId="4" fillId="27" borderId="21" xfId="1" applyNumberFormat="1" applyFont="1" applyFill="1" applyBorder="1" applyAlignment="1" applyProtection="1">
      <alignment horizontal="center" vertical="center" wrapText="1"/>
    </xf>
    <xf numFmtId="168" fontId="4" fillId="27" borderId="32" xfId="1" applyNumberFormat="1" applyFont="1" applyFill="1" applyBorder="1" applyAlignment="1" applyProtection="1">
      <alignment horizontal="center" vertical="center" wrapText="1"/>
    </xf>
    <xf numFmtId="0" fontId="8" fillId="13" borderId="55" xfId="0" applyFont="1" applyFill="1" applyBorder="1" applyAlignment="1">
      <alignment horizontal="center" vertical="center" wrapText="1"/>
    </xf>
    <xf numFmtId="0" fontId="8" fillId="13" borderId="62" xfId="0" applyFont="1" applyFill="1" applyBorder="1" applyAlignment="1">
      <alignment horizontal="center" vertical="center" wrapText="1"/>
    </xf>
    <xf numFmtId="0" fontId="8" fillId="13" borderId="58" xfId="0" applyFont="1" applyFill="1" applyBorder="1" applyAlignment="1">
      <alignment horizontal="center" vertical="center" wrapText="1"/>
    </xf>
    <xf numFmtId="0" fontId="8" fillId="13" borderId="16"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8" fillId="13" borderId="9" xfId="0" applyFont="1" applyFill="1" applyBorder="1" applyAlignment="1">
      <alignment horizontal="center" vertical="center" wrapText="1"/>
    </xf>
    <xf numFmtId="0" fontId="8" fillId="13" borderId="24" xfId="0" applyFont="1" applyFill="1" applyBorder="1" applyAlignment="1">
      <alignment horizontal="center" vertical="center" wrapText="1"/>
    </xf>
    <xf numFmtId="0" fontId="8" fillId="27" borderId="55" xfId="0" applyFont="1" applyFill="1" applyBorder="1" applyAlignment="1">
      <alignment horizontal="center" vertical="center" wrapText="1"/>
    </xf>
    <xf numFmtId="0" fontId="8" fillId="27" borderId="62" xfId="0" applyFont="1" applyFill="1" applyBorder="1" applyAlignment="1">
      <alignment horizontal="center" vertical="center" wrapText="1"/>
    </xf>
    <xf numFmtId="0" fontId="8" fillId="27" borderId="58" xfId="0" applyFont="1" applyFill="1" applyBorder="1" applyAlignment="1">
      <alignment horizontal="center" vertical="center" wrapText="1"/>
    </xf>
    <xf numFmtId="0" fontId="11" fillId="0" borderId="4" xfId="1" applyNumberFormat="1" applyFont="1" applyFill="1" applyBorder="1" applyAlignment="1" applyProtection="1">
      <alignment horizontal="center" vertical="center" wrapText="1"/>
    </xf>
    <xf numFmtId="0" fontId="11" fillId="0" borderId="9" xfId="1" applyNumberFormat="1" applyFont="1" applyFill="1" applyBorder="1" applyAlignment="1" applyProtection="1">
      <alignment horizontal="center" vertical="center" wrapText="1"/>
    </xf>
    <xf numFmtId="0" fontId="11" fillId="0" borderId="35" xfId="1" applyNumberFormat="1" applyFont="1" applyFill="1" applyBorder="1" applyAlignment="1" applyProtection="1">
      <alignment horizontal="center" vertical="center" wrapText="1"/>
      <protection locked="0"/>
    </xf>
    <xf numFmtId="0" fontId="11" fillId="0" borderId="32" xfId="1" applyNumberFormat="1" applyFont="1" applyFill="1" applyBorder="1" applyAlignment="1" applyProtection="1">
      <alignment horizontal="center" vertical="center" wrapText="1"/>
      <protection locked="0"/>
    </xf>
    <xf numFmtId="0" fontId="8" fillId="21" borderId="55" xfId="0" applyFont="1" applyFill="1" applyBorder="1" applyAlignment="1">
      <alignment horizontal="center" vertical="center" wrapText="1"/>
    </xf>
    <xf numFmtId="0" fontId="8" fillId="21" borderId="62" xfId="0" applyFont="1" applyFill="1" applyBorder="1" applyAlignment="1">
      <alignment horizontal="center" vertical="center" wrapText="1"/>
    </xf>
    <xf numFmtId="0" fontId="8" fillId="21" borderId="58" xfId="0" applyFont="1" applyFill="1" applyBorder="1" applyAlignment="1">
      <alignment horizontal="center" vertical="center" wrapText="1"/>
    </xf>
    <xf numFmtId="0" fontId="8" fillId="21" borderId="4" xfId="0" applyFont="1" applyFill="1" applyBorder="1" applyAlignment="1">
      <alignment horizontal="center" vertical="center" wrapText="1"/>
    </xf>
    <xf numFmtId="0" fontId="8" fillId="21" borderId="9" xfId="0" applyFont="1" applyFill="1" applyBorder="1" applyAlignment="1">
      <alignment horizontal="center" vertical="center" wrapText="1"/>
    </xf>
    <xf numFmtId="0" fontId="8" fillId="21" borderId="2" xfId="0" applyFont="1" applyFill="1" applyBorder="1" applyAlignment="1">
      <alignment horizontal="center" vertical="center" wrapText="1"/>
    </xf>
    <xf numFmtId="0" fontId="3" fillId="26" borderId="6" xfId="1" applyNumberFormat="1" applyFont="1" applyFill="1" applyBorder="1" applyAlignment="1" applyProtection="1">
      <alignment horizontal="center" vertical="center" wrapText="1"/>
    </xf>
    <xf numFmtId="0" fontId="3" fillId="26" borderId="8" xfId="1" applyNumberFormat="1" applyFont="1" applyFill="1" applyBorder="1" applyAlignment="1" applyProtection="1">
      <alignment horizontal="center" vertical="center" wrapText="1"/>
    </xf>
    <xf numFmtId="0" fontId="4" fillId="26" borderId="4" xfId="0" applyFont="1" applyFill="1" applyBorder="1" applyAlignment="1" applyProtection="1">
      <alignment horizontal="center" vertical="center" wrapText="1"/>
    </xf>
    <xf numFmtId="0" fontId="4" fillId="26" borderId="9" xfId="0" applyFont="1" applyFill="1" applyBorder="1" applyAlignment="1" applyProtection="1">
      <alignment horizontal="center" vertical="center" wrapText="1"/>
    </xf>
    <xf numFmtId="4" fontId="3" fillId="26" borderId="5" xfId="1" applyNumberFormat="1" applyFont="1" applyFill="1" applyBorder="1" applyAlignment="1" applyProtection="1">
      <alignment horizontal="center" vertical="center" wrapText="1"/>
    </xf>
    <xf numFmtId="4" fontId="3" fillId="26" borderId="7" xfId="1" applyNumberFormat="1" applyFont="1" applyFill="1" applyBorder="1" applyAlignment="1" applyProtection="1">
      <alignment horizontal="center" vertical="center" wrapText="1"/>
    </xf>
    <xf numFmtId="166" fontId="11" fillId="19" borderId="4" xfId="1" applyNumberFormat="1" applyFont="1" applyFill="1" applyBorder="1" applyAlignment="1" applyProtection="1">
      <alignment horizontal="center" vertical="center" wrapText="1"/>
    </xf>
    <xf numFmtId="166" fontId="11" fillId="19" borderId="9" xfId="1" applyNumberFormat="1" applyFont="1" applyFill="1" applyBorder="1" applyAlignment="1" applyProtection="1">
      <alignment horizontal="center" vertical="center" wrapText="1"/>
    </xf>
    <xf numFmtId="0" fontId="6" fillId="12" borderId="4" xfId="0" applyFont="1" applyFill="1" applyBorder="1" applyAlignment="1">
      <alignment horizontal="center" vertical="center" wrapText="1"/>
    </xf>
    <xf numFmtId="0" fontId="6" fillId="12" borderId="9" xfId="0" applyFont="1" applyFill="1" applyBorder="1" applyAlignment="1">
      <alignment horizontal="center" vertical="center" wrapText="1"/>
    </xf>
    <xf numFmtId="0" fontId="6" fillId="26" borderId="55" xfId="0" applyFont="1" applyFill="1" applyBorder="1" applyAlignment="1">
      <alignment horizontal="center" vertical="center" wrapText="1"/>
    </xf>
    <xf numFmtId="0" fontId="6" fillId="26" borderId="58" xfId="0" applyFont="1" applyFill="1" applyBorder="1" applyAlignment="1">
      <alignment horizontal="center" vertical="center" wrapText="1"/>
    </xf>
    <xf numFmtId="0" fontId="6" fillId="26" borderId="4" xfId="0" applyFont="1" applyFill="1" applyBorder="1" applyAlignment="1">
      <alignment horizontal="center" vertical="center" wrapText="1"/>
    </xf>
    <xf numFmtId="0" fontId="6" fillId="26" borderId="9" xfId="0" applyFont="1" applyFill="1" applyBorder="1" applyAlignment="1">
      <alignment horizontal="center" vertical="center" wrapText="1"/>
    </xf>
    <xf numFmtId="0" fontId="3" fillId="26" borderId="5" xfId="1" applyNumberFormat="1" applyFont="1" applyFill="1" applyBorder="1" applyAlignment="1" applyProtection="1">
      <alignment horizontal="center" vertical="center" wrapText="1"/>
    </xf>
    <xf numFmtId="0" fontId="3" fillId="26" borderId="7" xfId="1" applyNumberFormat="1" applyFont="1" applyFill="1" applyBorder="1" applyAlignment="1" applyProtection="1">
      <alignment horizontal="center" vertical="center" wrapText="1"/>
    </xf>
    <xf numFmtId="0" fontId="6" fillId="12" borderId="55" xfId="0" applyFont="1" applyFill="1" applyBorder="1" applyAlignment="1">
      <alignment horizontal="center" vertical="center" wrapText="1"/>
    </xf>
    <xf numFmtId="0" fontId="6" fillId="12" borderId="62" xfId="0" applyFont="1" applyFill="1" applyBorder="1" applyAlignment="1">
      <alignment horizontal="center" vertical="center" wrapText="1"/>
    </xf>
    <xf numFmtId="0" fontId="6" fillId="12" borderId="58" xfId="0" applyFont="1" applyFill="1" applyBorder="1" applyAlignment="1">
      <alignment horizontal="center" vertical="center" wrapText="1"/>
    </xf>
    <xf numFmtId="0" fontId="11" fillId="0" borderId="28" xfId="1" applyNumberFormat="1" applyFont="1" applyFill="1" applyBorder="1" applyAlignment="1" applyProtection="1">
      <alignment horizontal="center" vertical="center" wrapText="1"/>
      <protection locked="0"/>
    </xf>
    <xf numFmtId="0" fontId="11" fillId="0" borderId="2" xfId="1" applyNumberFormat="1" applyFont="1" applyFill="1" applyBorder="1" applyAlignment="1" applyProtection="1">
      <alignment horizontal="center" vertical="center" wrapText="1"/>
      <protection locked="0"/>
    </xf>
    <xf numFmtId="43" fontId="11" fillId="0" borderId="31" xfId="1" applyNumberFormat="1" applyFont="1" applyFill="1" applyBorder="1" applyAlignment="1" applyProtection="1">
      <alignment horizontal="center" vertical="center" wrapText="1"/>
      <protection locked="0"/>
    </xf>
    <xf numFmtId="43" fontId="11" fillId="0" borderId="18" xfId="1" applyNumberFormat="1" applyFont="1" applyFill="1" applyBorder="1" applyAlignment="1" applyProtection="1">
      <alignment horizontal="center" vertical="center" wrapText="1"/>
      <protection locked="0"/>
    </xf>
    <xf numFmtId="0" fontId="6" fillId="10" borderId="4"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3" fillId="10" borderId="1" xfId="1" applyNumberFormat="1" applyFont="1" applyFill="1" applyBorder="1" applyAlignment="1" applyProtection="1">
      <alignment horizontal="center" vertical="center" wrapText="1"/>
    </xf>
    <xf numFmtId="0" fontId="3" fillId="10" borderId="7" xfId="1" applyNumberFormat="1" applyFont="1" applyFill="1" applyBorder="1" applyAlignment="1" applyProtection="1">
      <alignment horizontal="center" vertical="center" wrapText="1"/>
    </xf>
    <xf numFmtId="0" fontId="3" fillId="10" borderId="3" xfId="1" applyNumberFormat="1" applyFont="1" applyFill="1" applyBorder="1" applyAlignment="1" applyProtection="1">
      <alignment horizontal="center" vertical="center" wrapText="1"/>
    </xf>
    <xf numFmtId="0" fontId="3" fillId="10" borderId="8" xfId="1" applyNumberFormat="1" applyFont="1" applyFill="1" applyBorder="1" applyAlignment="1" applyProtection="1">
      <alignment horizontal="center" vertical="center" wrapText="1"/>
    </xf>
    <xf numFmtId="0" fontId="5" fillId="10" borderId="2" xfId="0" applyFont="1" applyFill="1" applyBorder="1" applyAlignment="1" applyProtection="1">
      <alignment horizontal="center" vertical="center" wrapText="1"/>
    </xf>
    <xf numFmtId="0" fontId="5" fillId="10" borderId="9" xfId="0" applyFont="1" applyFill="1" applyBorder="1" applyAlignment="1" applyProtection="1">
      <alignment horizontal="center" vertical="center" wrapText="1"/>
    </xf>
    <xf numFmtId="0" fontId="4" fillId="0" borderId="50" xfId="1" applyNumberFormat="1" applyFont="1" applyFill="1" applyBorder="1" applyAlignment="1">
      <alignment horizontal="center" vertical="center" wrapText="1"/>
    </xf>
    <xf numFmtId="0" fontId="4" fillId="0" borderId="63" xfId="1" applyNumberFormat="1" applyFont="1" applyFill="1" applyBorder="1" applyAlignment="1">
      <alignment horizontal="center" vertical="center" wrapText="1"/>
    </xf>
    <xf numFmtId="0" fontId="4" fillId="0" borderId="52" xfId="1" applyNumberFormat="1" applyFont="1" applyFill="1" applyBorder="1" applyAlignment="1">
      <alignment horizontal="center" vertical="center" wrapText="1"/>
    </xf>
    <xf numFmtId="0" fontId="11" fillId="0" borderId="21" xfId="1" applyNumberFormat="1" applyFont="1" applyFill="1" applyBorder="1" applyAlignment="1" applyProtection="1">
      <alignment horizontal="center" vertical="center" wrapText="1"/>
      <protection locked="0"/>
    </xf>
    <xf numFmtId="0" fontId="11" fillId="0" borderId="11" xfId="1" applyNumberFormat="1" applyFont="1" applyFill="1" applyBorder="1" applyAlignment="1" applyProtection="1">
      <alignment horizontal="center" vertical="center" wrapText="1"/>
      <protection locked="0"/>
    </xf>
    <xf numFmtId="0" fontId="3" fillId="7" borderId="1" xfId="1" applyNumberFormat="1" applyFont="1" applyFill="1" applyBorder="1" applyAlignment="1" applyProtection="1">
      <alignment horizontal="center" vertical="center" wrapText="1"/>
    </xf>
    <xf numFmtId="0" fontId="3" fillId="7" borderId="7" xfId="1" applyNumberFormat="1" applyFont="1" applyFill="1" applyBorder="1" applyAlignment="1" applyProtection="1">
      <alignment horizontal="center" vertical="center" wrapText="1"/>
    </xf>
    <xf numFmtId="0" fontId="3" fillId="7" borderId="3" xfId="1" applyNumberFormat="1" applyFont="1" applyFill="1" applyBorder="1" applyAlignment="1" applyProtection="1">
      <alignment horizontal="center" vertical="center" wrapText="1"/>
    </xf>
    <xf numFmtId="0" fontId="3" fillId="7" borderId="8" xfId="1" applyNumberFormat="1" applyFont="1" applyFill="1" applyBorder="1" applyAlignment="1" applyProtection="1">
      <alignment horizontal="center" vertical="center" wrapText="1"/>
    </xf>
    <xf numFmtId="0" fontId="5" fillId="7" borderId="2" xfId="0" applyFont="1" applyFill="1" applyBorder="1" applyAlignment="1" applyProtection="1">
      <alignment horizontal="center" vertical="center" wrapText="1"/>
    </xf>
    <xf numFmtId="0" fontId="5" fillId="7" borderId="9" xfId="0" applyFont="1" applyFill="1" applyBorder="1" applyAlignment="1" applyProtection="1">
      <alignment horizontal="center" vertical="center" wrapText="1"/>
    </xf>
    <xf numFmtId="0" fontId="3" fillId="7" borderId="42" xfId="1" applyNumberFormat="1" applyFont="1" applyFill="1" applyBorder="1" applyAlignment="1" applyProtection="1">
      <alignment horizontal="center" vertical="center" wrapText="1"/>
    </xf>
    <xf numFmtId="0" fontId="3" fillId="7" borderId="54" xfId="1" applyNumberFormat="1" applyFont="1" applyFill="1" applyBorder="1" applyAlignment="1" applyProtection="1">
      <alignment horizontal="center" vertical="center" wrapText="1"/>
    </xf>
    <xf numFmtId="0" fontId="3" fillId="7" borderId="14" xfId="1" applyNumberFormat="1" applyFont="1" applyFill="1" applyBorder="1" applyAlignment="1" applyProtection="1">
      <alignment horizontal="center" vertical="center" wrapText="1"/>
    </xf>
    <xf numFmtId="0" fontId="4" fillId="22" borderId="10" xfId="1" applyNumberFormat="1" applyFont="1" applyFill="1" applyBorder="1" applyAlignment="1">
      <alignment horizontal="center" vertical="center" wrapText="1"/>
    </xf>
    <xf numFmtId="0" fontId="4" fillId="22" borderId="21" xfId="1" applyNumberFormat="1" applyFont="1" applyFill="1" applyBorder="1" applyAlignment="1">
      <alignment horizontal="center" vertical="center" wrapText="1"/>
    </xf>
    <xf numFmtId="0" fontId="4" fillId="22" borderId="11" xfId="1" applyNumberFormat="1" applyFont="1" applyFill="1" applyBorder="1" applyAlignment="1">
      <alignment horizontal="center" vertical="center" wrapText="1"/>
    </xf>
    <xf numFmtId="0" fontId="4" fillId="22" borderId="43" xfId="1" applyNumberFormat="1" applyFont="1" applyFill="1" applyBorder="1" applyAlignment="1">
      <alignment horizontal="center" vertical="center" wrapText="1"/>
    </xf>
    <xf numFmtId="0" fontId="4" fillId="22" borderId="71" xfId="1" applyNumberFormat="1" applyFont="1" applyFill="1" applyBorder="1" applyAlignment="1">
      <alignment horizontal="center" vertical="center" wrapText="1"/>
    </xf>
    <xf numFmtId="0" fontId="4" fillId="22" borderId="29" xfId="1" applyNumberFormat="1" applyFont="1" applyFill="1" applyBorder="1" applyAlignment="1">
      <alignment horizontal="center" vertical="center" wrapText="1"/>
    </xf>
    <xf numFmtId="166" fontId="11" fillId="25" borderId="30" xfId="1" applyNumberFormat="1" applyFont="1" applyFill="1" applyBorder="1" applyAlignment="1" applyProtection="1">
      <alignment horizontal="center" vertical="center" wrapText="1"/>
    </xf>
    <xf numFmtId="166" fontId="11" fillId="25" borderId="40" xfId="1" applyNumberFormat="1" applyFont="1" applyFill="1" applyBorder="1" applyAlignment="1" applyProtection="1">
      <alignment horizontal="center" vertical="center" wrapText="1"/>
    </xf>
    <xf numFmtId="166" fontId="11" fillId="25" borderId="28" xfId="1" applyNumberFormat="1" applyFont="1" applyFill="1" applyBorder="1" applyAlignment="1" applyProtection="1">
      <alignment horizontal="center" vertical="center" wrapText="1"/>
    </xf>
    <xf numFmtId="0" fontId="11" fillId="0" borderId="2" xfId="1" applyNumberFormat="1" applyFont="1" applyFill="1" applyBorder="1" applyAlignment="1">
      <alignment horizontal="center" vertical="center" wrapText="1"/>
    </xf>
    <xf numFmtId="0" fontId="3" fillId="22" borderId="42" xfId="1" applyNumberFormat="1" applyFont="1" applyFill="1" applyBorder="1" applyAlignment="1" applyProtection="1">
      <alignment horizontal="center" vertical="center" wrapText="1"/>
    </xf>
    <xf numFmtId="0" fontId="3" fillId="22" borderId="54" xfId="1" applyNumberFormat="1" applyFont="1" applyFill="1" applyBorder="1" applyAlignment="1" applyProtection="1">
      <alignment horizontal="center" vertical="center" wrapText="1"/>
    </xf>
    <xf numFmtId="0" fontId="3" fillId="22" borderId="73" xfId="1" applyNumberFormat="1" applyFont="1" applyFill="1" applyBorder="1" applyAlignment="1" applyProtection="1">
      <alignment horizontal="center" vertical="center" wrapText="1"/>
    </xf>
    <xf numFmtId="166" fontId="11" fillId="22" borderId="1" xfId="1" applyNumberFormat="1" applyFont="1" applyFill="1" applyBorder="1" applyAlignment="1" applyProtection="1">
      <alignment horizontal="center" vertical="center" wrapText="1"/>
    </xf>
    <xf numFmtId="168" fontId="4" fillId="22" borderId="1" xfId="1" applyNumberFormat="1" applyFont="1" applyFill="1" applyBorder="1" applyAlignment="1" applyProtection="1">
      <alignment horizontal="center" vertical="center" wrapText="1"/>
    </xf>
    <xf numFmtId="0" fontId="5" fillId="22" borderId="1" xfId="0" applyFont="1" applyFill="1" applyBorder="1" applyAlignment="1" applyProtection="1">
      <alignment horizontal="center" vertical="center" wrapText="1"/>
    </xf>
    <xf numFmtId="0" fontId="6" fillId="22" borderId="68" xfId="0" applyFont="1" applyFill="1" applyBorder="1" applyAlignment="1">
      <alignment horizontal="center" vertical="center" wrapText="1"/>
    </xf>
    <xf numFmtId="0" fontId="6" fillId="22" borderId="62" xfId="0" applyFont="1" applyFill="1" applyBorder="1" applyAlignment="1">
      <alignment horizontal="center" vertical="center" wrapText="1"/>
    </xf>
    <xf numFmtId="0" fontId="6" fillId="22" borderId="58" xfId="0" applyFont="1" applyFill="1" applyBorder="1" applyAlignment="1">
      <alignment horizontal="center" vertical="center" wrapText="1"/>
    </xf>
    <xf numFmtId="0" fontId="6" fillId="22" borderId="4" xfId="0" applyFont="1" applyFill="1" applyBorder="1" applyAlignment="1">
      <alignment horizontal="center" vertical="center" wrapText="1"/>
    </xf>
    <xf numFmtId="0" fontId="6" fillId="22" borderId="2" xfId="0" applyFont="1" applyFill="1" applyBorder="1" applyAlignment="1">
      <alignment horizontal="center" vertical="center" wrapText="1"/>
    </xf>
    <xf numFmtId="0" fontId="6" fillId="22" borderId="9" xfId="0" applyFont="1" applyFill="1" applyBorder="1" applyAlignment="1">
      <alignment horizontal="center" vertical="center" wrapText="1"/>
    </xf>
    <xf numFmtId="0" fontId="3" fillId="7" borderId="5" xfId="1" applyNumberFormat="1" applyFont="1" applyFill="1" applyBorder="1" applyAlignment="1" applyProtection="1">
      <alignment horizontal="center" vertical="center" wrapText="1"/>
    </xf>
    <xf numFmtId="0" fontId="3" fillId="22" borderId="1" xfId="1" applyNumberFormat="1" applyFont="1" applyFill="1" applyBorder="1" applyAlignment="1" applyProtection="1">
      <alignment horizontal="center" vertical="center" wrapText="1"/>
    </xf>
    <xf numFmtId="0" fontId="5" fillId="22" borderId="4" xfId="0" applyFont="1" applyFill="1" applyBorder="1" applyAlignment="1" applyProtection="1">
      <alignment horizontal="center" vertical="center" wrapText="1"/>
    </xf>
    <xf numFmtId="0" fontId="5" fillId="22" borderId="2" xfId="0" applyFont="1" applyFill="1" applyBorder="1" applyAlignment="1" applyProtection="1">
      <alignment horizontal="center" vertical="center" wrapText="1"/>
    </xf>
    <xf numFmtId="0" fontId="6" fillId="10" borderId="55" xfId="0" applyFont="1" applyFill="1" applyBorder="1" applyAlignment="1">
      <alignment horizontal="center" vertical="center" wrapText="1"/>
    </xf>
    <xf numFmtId="0" fontId="6" fillId="10" borderId="62" xfId="0" applyFont="1" applyFill="1" applyBorder="1" applyAlignment="1">
      <alignment horizontal="center" vertical="center" wrapText="1"/>
    </xf>
    <xf numFmtId="0" fontId="6" fillId="10" borderId="58" xfId="0" applyFont="1" applyFill="1" applyBorder="1" applyAlignment="1">
      <alignment horizontal="center" vertical="center" wrapText="1"/>
    </xf>
    <xf numFmtId="0" fontId="6" fillId="10" borderId="28" xfId="0" applyFont="1" applyFill="1" applyBorder="1" applyAlignment="1">
      <alignment horizontal="center" vertical="center" wrapText="1"/>
    </xf>
    <xf numFmtId="0" fontId="6" fillId="11" borderId="55" xfId="0" applyFont="1" applyFill="1" applyBorder="1" applyAlignment="1">
      <alignment horizontal="center" vertical="center" wrapText="1"/>
    </xf>
    <xf numFmtId="0" fontId="6" fillId="11" borderId="62" xfId="0" applyFont="1" applyFill="1" applyBorder="1" applyAlignment="1">
      <alignment horizontal="center" vertical="center" wrapText="1"/>
    </xf>
    <xf numFmtId="0" fontId="6" fillId="11" borderId="58" xfId="0" applyFont="1" applyFill="1" applyBorder="1" applyAlignment="1">
      <alignment horizontal="center" vertical="center" wrapText="1"/>
    </xf>
    <xf numFmtId="0" fontId="3" fillId="7" borderId="6" xfId="1" applyNumberFormat="1" applyFont="1" applyFill="1" applyBorder="1" applyAlignment="1" applyProtection="1">
      <alignment horizontal="center" vertical="center" wrapText="1"/>
    </xf>
    <xf numFmtId="0" fontId="3" fillId="22" borderId="3" xfId="1" applyNumberFormat="1" applyFont="1" applyFill="1" applyBorder="1" applyAlignment="1" applyProtection="1">
      <alignment horizontal="center" vertical="center" wrapText="1"/>
    </xf>
    <xf numFmtId="0" fontId="6" fillId="11" borderId="4"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6" fillId="11" borderId="9" xfId="0" applyFont="1" applyFill="1" applyBorder="1" applyAlignment="1">
      <alignment horizontal="center" vertical="center" wrapText="1"/>
    </xf>
    <xf numFmtId="166" fontId="11" fillId="25" borderId="37" xfId="1" applyNumberFormat="1" applyFont="1" applyFill="1" applyBorder="1" applyAlignment="1" applyProtection="1">
      <alignment horizontal="center" vertical="center" wrapText="1"/>
    </xf>
    <xf numFmtId="0" fontId="5" fillId="22" borderId="44" xfId="0" applyFont="1" applyFill="1" applyBorder="1" applyAlignment="1" applyProtection="1">
      <alignment horizontal="center" vertical="center" wrapText="1"/>
    </xf>
    <xf numFmtId="0" fontId="5" fillId="22" borderId="20" xfId="0" applyFont="1" applyFill="1" applyBorder="1" applyAlignment="1" applyProtection="1">
      <alignment horizontal="center" vertical="center" wrapText="1"/>
    </xf>
    <xf numFmtId="0" fontId="5" fillId="22" borderId="66" xfId="0" applyFont="1" applyFill="1" applyBorder="1" applyAlignment="1" applyProtection="1">
      <alignment horizontal="center" vertical="center" wrapText="1"/>
    </xf>
    <xf numFmtId="0" fontId="5" fillId="25" borderId="40" xfId="0" applyFont="1" applyFill="1" applyBorder="1" applyAlignment="1" applyProtection="1">
      <alignment horizontal="center" vertical="center" wrapText="1"/>
    </xf>
    <xf numFmtId="0" fontId="5" fillId="25" borderId="28" xfId="0" applyFont="1" applyFill="1" applyBorder="1" applyAlignment="1" applyProtection="1">
      <alignment horizontal="center" vertical="center" wrapText="1"/>
    </xf>
    <xf numFmtId="0" fontId="11" fillId="22" borderId="29" xfId="1" applyNumberFormat="1" applyFont="1" applyFill="1" applyBorder="1" applyAlignment="1" applyProtection="1">
      <alignment horizontal="center" vertical="center" wrapText="1"/>
    </xf>
    <xf numFmtId="0" fontId="11" fillId="22" borderId="3" xfId="1" applyNumberFormat="1" applyFont="1" applyFill="1" applyBorder="1" applyAlignment="1" applyProtection="1">
      <alignment horizontal="center" vertical="center" wrapText="1"/>
    </xf>
    <xf numFmtId="0" fontId="11" fillId="22" borderId="8" xfId="1" applyNumberFormat="1" applyFont="1" applyFill="1" applyBorder="1" applyAlignment="1" applyProtection="1">
      <alignment horizontal="center" vertical="center" wrapText="1"/>
    </xf>
    <xf numFmtId="167" fontId="15" fillId="0" borderId="38" xfId="0" applyNumberFormat="1" applyFont="1" applyBorder="1" applyAlignment="1">
      <alignment horizontal="center" vertical="center"/>
    </xf>
    <xf numFmtId="167" fontId="15" fillId="0" borderId="23" xfId="0" applyNumberFormat="1" applyFont="1" applyBorder="1" applyAlignment="1">
      <alignment horizontal="center" vertical="center"/>
    </xf>
    <xf numFmtId="167" fontId="15" fillId="0" borderId="76" xfId="0" applyNumberFormat="1" applyFont="1" applyBorder="1" applyAlignment="1">
      <alignment horizontal="center" vertical="center"/>
    </xf>
    <xf numFmtId="167" fontId="15" fillId="0" borderId="54" xfId="0" applyNumberFormat="1" applyFont="1" applyBorder="1" applyAlignment="1">
      <alignment horizontal="center" vertical="center"/>
    </xf>
    <xf numFmtId="167" fontId="15" fillId="0" borderId="12" xfId="0" applyNumberFormat="1" applyFont="1" applyBorder="1" applyAlignment="1">
      <alignment horizontal="center" vertical="center"/>
    </xf>
    <xf numFmtId="167" fontId="15" fillId="0" borderId="14" xfId="0" applyNumberFormat="1" applyFont="1" applyBorder="1" applyAlignment="1">
      <alignment horizontal="center" vertical="center"/>
    </xf>
    <xf numFmtId="0" fontId="15" fillId="39" borderId="38" xfId="0" applyFont="1" applyFill="1" applyBorder="1" applyAlignment="1">
      <alignment horizontal="center" vertical="center"/>
    </xf>
    <xf numFmtId="0" fontId="15" fillId="39" borderId="23" xfId="0" applyFont="1" applyFill="1" applyBorder="1" applyAlignment="1">
      <alignment horizontal="center" vertical="center"/>
    </xf>
    <xf numFmtId="0" fontId="15" fillId="39" borderId="76" xfId="0" applyFont="1" applyFill="1" applyBorder="1" applyAlignment="1">
      <alignment horizontal="center" vertical="center"/>
    </xf>
    <xf numFmtId="0" fontId="15" fillId="39" borderId="54" xfId="0" applyFont="1" applyFill="1" applyBorder="1" applyAlignment="1">
      <alignment horizontal="center" vertical="center"/>
    </xf>
    <xf numFmtId="0" fontId="15" fillId="39" borderId="12" xfId="0" applyFont="1" applyFill="1" applyBorder="1" applyAlignment="1">
      <alignment horizontal="center" vertical="center"/>
    </xf>
    <xf numFmtId="0" fontId="15" fillId="39" borderId="14" xfId="0" applyFont="1" applyFill="1" applyBorder="1" applyAlignment="1">
      <alignment horizontal="center" vertical="center"/>
    </xf>
    <xf numFmtId="0" fontId="15" fillId="19" borderId="38" xfId="0" applyFont="1" applyFill="1" applyBorder="1" applyAlignment="1">
      <alignment horizontal="center" vertical="center"/>
    </xf>
    <xf numFmtId="0" fontId="15" fillId="19" borderId="23" xfId="0" applyFont="1" applyFill="1" applyBorder="1" applyAlignment="1">
      <alignment horizontal="center" vertical="center"/>
    </xf>
    <xf numFmtId="0" fontId="15" fillId="19" borderId="76" xfId="0" applyFont="1" applyFill="1" applyBorder="1" applyAlignment="1">
      <alignment horizontal="center" vertical="center"/>
    </xf>
    <xf numFmtId="0" fontId="15" fillId="19" borderId="54" xfId="0" applyFont="1" applyFill="1" applyBorder="1" applyAlignment="1">
      <alignment horizontal="center" vertical="center"/>
    </xf>
    <xf numFmtId="0" fontId="15" fillId="19" borderId="12" xfId="0" applyFont="1" applyFill="1" applyBorder="1" applyAlignment="1">
      <alignment horizontal="center" vertical="center"/>
    </xf>
    <xf numFmtId="0" fontId="15" fillId="19" borderId="14" xfId="0" applyFont="1" applyFill="1" applyBorder="1" applyAlignment="1">
      <alignment horizontal="center" vertical="center"/>
    </xf>
    <xf numFmtId="43" fontId="2" fillId="22" borderId="43" xfId="1" applyNumberFormat="1" applyFont="1" applyFill="1" applyBorder="1" applyAlignment="1" applyProtection="1">
      <alignment horizontal="center" vertical="center" wrapText="1"/>
    </xf>
    <xf numFmtId="43" fontId="2" fillId="22" borderId="71" xfId="1" applyNumberFormat="1" applyFont="1" applyFill="1" applyBorder="1" applyAlignment="1" applyProtection="1">
      <alignment horizontal="center" vertical="center" wrapText="1"/>
    </xf>
    <xf numFmtId="43" fontId="2" fillId="22" borderId="39" xfId="1" applyNumberFormat="1" applyFont="1" applyFill="1" applyBorder="1" applyAlignment="1" applyProtection="1">
      <alignment horizontal="center" vertical="center" wrapText="1"/>
    </xf>
    <xf numFmtId="43" fontId="11" fillId="12" borderId="30" xfId="1" applyNumberFormat="1" applyFont="1" applyFill="1" applyBorder="1" applyAlignment="1" applyProtection="1">
      <alignment horizontal="center" vertical="center" wrapText="1"/>
      <protection locked="0"/>
    </xf>
    <xf numFmtId="43" fontId="11" fillId="12" borderId="40" xfId="1" applyNumberFormat="1" applyFont="1" applyFill="1" applyBorder="1" applyAlignment="1" applyProtection="1">
      <alignment horizontal="center" vertical="center" wrapText="1"/>
      <protection locked="0"/>
    </xf>
    <xf numFmtId="43" fontId="11" fillId="12" borderId="28" xfId="1" applyNumberFormat="1" applyFont="1" applyFill="1" applyBorder="1" applyAlignment="1" applyProtection="1">
      <alignment horizontal="center" vertical="center" wrapText="1"/>
      <protection locked="0"/>
    </xf>
    <xf numFmtId="43" fontId="11" fillId="12" borderId="34" xfId="1" applyNumberFormat="1" applyFont="1" applyFill="1" applyBorder="1" applyAlignment="1" applyProtection="1">
      <alignment horizontal="center" vertical="center" wrapText="1"/>
      <protection locked="0"/>
    </xf>
    <xf numFmtId="43" fontId="2" fillId="10" borderId="56" xfId="1" applyNumberFormat="1" applyFont="1" applyFill="1" applyBorder="1" applyAlignment="1" applyProtection="1">
      <alignment horizontal="center" vertical="center" wrapText="1"/>
    </xf>
    <xf numFmtId="43" fontId="2" fillId="10" borderId="29" xfId="1" applyNumberFormat="1" applyFont="1" applyFill="1" applyBorder="1" applyAlignment="1" applyProtection="1">
      <alignment horizontal="center" vertical="center" wrapText="1"/>
    </xf>
    <xf numFmtId="0" fontId="25" fillId="0" borderId="16" xfId="0" applyFont="1" applyBorder="1" applyAlignment="1">
      <alignment horizontal="center" vertical="center"/>
    </xf>
    <xf numFmtId="0" fontId="25" fillId="0" borderId="17" xfId="0" applyFont="1" applyBorder="1" applyAlignment="1">
      <alignment horizontal="center" vertical="center"/>
    </xf>
    <xf numFmtId="0" fontId="25" fillId="0" borderId="15" xfId="0" applyFont="1" applyBorder="1" applyAlignment="1">
      <alignment horizontal="center" vertical="center"/>
    </xf>
    <xf numFmtId="166" fontId="11" fillId="10" borderId="34" xfId="1" applyNumberFormat="1" applyFont="1" applyFill="1" applyBorder="1" applyAlignment="1" applyProtection="1">
      <alignment horizontal="center" vertical="center" wrapText="1"/>
    </xf>
    <xf numFmtId="166" fontId="11" fillId="10" borderId="28" xfId="1" applyNumberFormat="1" applyFont="1" applyFill="1" applyBorder="1" applyAlignment="1" applyProtection="1">
      <alignment horizontal="center" vertical="center" wrapText="1"/>
    </xf>
    <xf numFmtId="166" fontId="11" fillId="19" borderId="30" xfId="1" applyNumberFormat="1" applyFont="1" applyFill="1" applyBorder="1" applyAlignment="1" applyProtection="1">
      <alignment horizontal="center" vertical="center" wrapText="1"/>
    </xf>
    <xf numFmtId="166" fontId="11" fillId="19" borderId="28" xfId="1" applyNumberFormat="1" applyFont="1" applyFill="1" applyBorder="1" applyAlignment="1" applyProtection="1">
      <alignment horizontal="center" vertical="center" wrapText="1"/>
    </xf>
    <xf numFmtId="0" fontId="11" fillId="22" borderId="10" xfId="1" applyNumberFormat="1" applyFont="1" applyFill="1" applyBorder="1" applyAlignment="1" applyProtection="1">
      <alignment horizontal="center" vertical="center" wrapText="1"/>
    </xf>
    <xf numFmtId="0" fontId="11" fillId="22" borderId="21" xfId="1" applyNumberFormat="1" applyFont="1" applyFill="1" applyBorder="1" applyAlignment="1" applyProtection="1">
      <alignment horizontal="center" vertical="center" wrapText="1"/>
    </xf>
    <xf numFmtId="0" fontId="11" fillId="22" borderId="32" xfId="1" applyNumberFormat="1" applyFont="1" applyFill="1" applyBorder="1" applyAlignment="1" applyProtection="1">
      <alignment horizontal="center" vertical="center" wrapText="1"/>
    </xf>
    <xf numFmtId="0" fontId="11" fillId="10" borderId="35" xfId="1" applyNumberFormat="1" applyFont="1" applyFill="1" applyBorder="1" applyAlignment="1" applyProtection="1">
      <alignment horizontal="center" vertical="center" wrapText="1"/>
    </xf>
    <xf numFmtId="0" fontId="11" fillId="10" borderId="11" xfId="1" applyNumberFormat="1" applyFont="1" applyFill="1" applyBorder="1" applyAlignment="1" applyProtection="1">
      <alignment horizontal="center" vertical="center" wrapText="1"/>
    </xf>
    <xf numFmtId="0" fontId="11" fillId="10" borderId="43" xfId="1" applyNumberFormat="1" applyFont="1" applyFill="1" applyBorder="1" applyAlignment="1" applyProtection="1">
      <alignment horizontal="center" vertical="center" wrapText="1"/>
    </xf>
    <xf numFmtId="0" fontId="11" fillId="10" borderId="29" xfId="1" applyNumberFormat="1" applyFont="1" applyFill="1" applyBorder="1" applyAlignment="1" applyProtection="1">
      <alignment horizontal="center" vertical="center" wrapText="1"/>
    </xf>
    <xf numFmtId="0" fontId="5" fillId="10" borderId="30" xfId="0" applyFont="1" applyFill="1" applyBorder="1" applyAlignment="1" applyProtection="1">
      <alignment horizontal="center" vertical="center" wrapText="1"/>
    </xf>
    <xf numFmtId="0" fontId="5" fillId="10" borderId="28" xfId="0" applyFont="1" applyFill="1" applyBorder="1" applyAlignment="1" applyProtection="1">
      <alignment horizontal="center" vertical="center" wrapText="1"/>
    </xf>
    <xf numFmtId="0" fontId="11" fillId="25" borderId="10" xfId="1" applyNumberFormat="1" applyFont="1" applyFill="1" applyBorder="1" applyAlignment="1" applyProtection="1">
      <alignment horizontal="center" vertical="center" wrapText="1"/>
    </xf>
    <xf numFmtId="0" fontId="11" fillId="25" borderId="11" xfId="1" applyNumberFormat="1" applyFont="1" applyFill="1" applyBorder="1" applyAlignment="1" applyProtection="1">
      <alignment horizontal="center" vertical="center" wrapText="1"/>
    </xf>
    <xf numFmtId="0" fontId="11" fillId="25" borderId="71" xfId="1" applyNumberFormat="1" applyFont="1" applyFill="1" applyBorder="1" applyAlignment="1" applyProtection="1">
      <alignment horizontal="center" vertical="center" wrapText="1"/>
    </xf>
    <xf numFmtId="0" fontId="11" fillId="25" borderId="29" xfId="1" applyNumberFormat="1" applyFont="1" applyFill="1" applyBorder="1" applyAlignment="1" applyProtection="1">
      <alignment horizontal="center" vertical="center" wrapText="1"/>
    </xf>
    <xf numFmtId="0" fontId="5" fillId="10" borderId="35" xfId="0" applyFont="1" applyFill="1" applyBorder="1" applyAlignment="1" applyProtection="1">
      <alignment horizontal="center" vertical="center" wrapText="1"/>
    </xf>
    <xf numFmtId="0" fontId="5" fillId="10" borderId="11" xfId="0" applyFont="1" applyFill="1" applyBorder="1" applyAlignment="1" applyProtection="1">
      <alignment horizontal="center" vertical="center" wrapText="1"/>
    </xf>
    <xf numFmtId="4" fontId="3" fillId="8" borderId="16" xfId="0" applyNumberFormat="1" applyFont="1" applyFill="1" applyBorder="1" applyAlignment="1" applyProtection="1">
      <alignment horizontal="center" vertical="center"/>
    </xf>
    <xf numFmtId="4" fontId="3" fillId="8" borderId="17" xfId="0" applyNumberFormat="1" applyFont="1" applyFill="1" applyBorder="1" applyAlignment="1" applyProtection="1">
      <alignment horizontal="center" vertical="center"/>
    </xf>
    <xf numFmtId="4" fontId="3" fillId="8" borderId="15" xfId="0" applyNumberFormat="1" applyFont="1" applyFill="1" applyBorder="1" applyAlignment="1" applyProtection="1">
      <alignment horizontal="center" vertical="center"/>
    </xf>
    <xf numFmtId="0" fontId="16" fillId="15" borderId="16" xfId="0" applyFont="1" applyFill="1" applyBorder="1" applyAlignment="1">
      <alignment horizontal="center" vertical="center"/>
    </xf>
    <xf numFmtId="0" fontId="16" fillId="15" borderId="17" xfId="0" applyFont="1" applyFill="1" applyBorder="1" applyAlignment="1">
      <alignment horizontal="center" vertical="center"/>
    </xf>
    <xf numFmtId="0" fontId="16" fillId="15" borderId="15" xfId="0" applyFont="1" applyFill="1" applyBorder="1" applyAlignment="1">
      <alignment horizontal="center" vertical="center"/>
    </xf>
    <xf numFmtId="0" fontId="15" fillId="2" borderId="16" xfId="0" applyFont="1" applyFill="1" applyBorder="1" applyAlignment="1">
      <alignment horizontal="center" vertical="center"/>
    </xf>
    <xf numFmtId="0" fontId="15" fillId="2" borderId="17" xfId="0" applyFont="1" applyFill="1" applyBorder="1" applyAlignment="1">
      <alignment horizontal="center" vertical="center"/>
    </xf>
    <xf numFmtId="0" fontId="15" fillId="2" borderId="15" xfId="0" applyFont="1" applyFill="1" applyBorder="1" applyAlignment="1">
      <alignment horizontal="center" vertical="center"/>
    </xf>
    <xf numFmtId="0" fontId="11" fillId="8" borderId="16" xfId="0" applyFont="1" applyFill="1" applyBorder="1" applyAlignment="1">
      <alignment horizontal="center" vertical="center"/>
    </xf>
    <xf numFmtId="0" fontId="11" fillId="8" borderId="17" xfId="0" applyFont="1" applyFill="1" applyBorder="1" applyAlignment="1">
      <alignment horizontal="center" vertical="center"/>
    </xf>
    <xf numFmtId="0" fontId="11" fillId="8" borderId="15" xfId="0" applyFont="1" applyFill="1" applyBorder="1" applyAlignment="1">
      <alignment horizontal="center" vertical="center"/>
    </xf>
    <xf numFmtId="166" fontId="16" fillId="7" borderId="12" xfId="1" applyNumberFormat="1" applyFont="1" applyFill="1" applyBorder="1" applyAlignment="1">
      <alignment horizontal="center" vertical="center"/>
    </xf>
    <xf numFmtId="166" fontId="16" fillId="7" borderId="14" xfId="1" applyNumberFormat="1" applyFont="1" applyFill="1" applyBorder="1" applyAlignment="1">
      <alignment horizontal="center" vertical="center"/>
    </xf>
    <xf numFmtId="0" fontId="5" fillId="27" borderId="40" xfId="0" applyFont="1" applyFill="1" applyBorder="1" applyAlignment="1" applyProtection="1">
      <alignment horizontal="center" vertical="center" wrapText="1"/>
    </xf>
    <xf numFmtId="0" fontId="5" fillId="27" borderId="28" xfId="0" applyFont="1" applyFill="1" applyBorder="1" applyAlignment="1" applyProtection="1">
      <alignment horizontal="center" vertical="center" wrapText="1"/>
    </xf>
    <xf numFmtId="0" fontId="16" fillId="0" borderId="38" xfId="0" applyFont="1" applyBorder="1" applyAlignment="1">
      <alignment horizontal="center" vertical="center"/>
    </xf>
    <xf numFmtId="0" fontId="16" fillId="0" borderId="23" xfId="0" applyFont="1" applyBorder="1" applyAlignment="1">
      <alignment horizontal="center" vertical="center"/>
    </xf>
    <xf numFmtId="0" fontId="16" fillId="0" borderId="76" xfId="0" applyFont="1" applyBorder="1" applyAlignment="1">
      <alignment horizontal="center" vertical="center"/>
    </xf>
    <xf numFmtId="0" fontId="16" fillId="0" borderId="54" xfId="0" applyFont="1" applyBorder="1" applyAlignment="1">
      <alignment horizontal="center" vertical="center"/>
    </xf>
    <xf numFmtId="0" fontId="16" fillId="0" borderId="12" xfId="0" applyFont="1" applyBorder="1" applyAlignment="1">
      <alignment horizontal="center" vertical="center"/>
    </xf>
    <xf numFmtId="0" fontId="16" fillId="0" borderId="14" xfId="0" applyFont="1" applyBorder="1" applyAlignment="1">
      <alignment horizontal="center" vertical="center"/>
    </xf>
    <xf numFmtId="43" fontId="11" fillId="0" borderId="36" xfId="0" applyNumberFormat="1" applyFont="1" applyBorder="1" applyAlignment="1">
      <alignment horizontal="center" vertical="center"/>
    </xf>
    <xf numFmtId="43" fontId="11" fillId="0" borderId="22" xfId="0" applyNumberFormat="1" applyFont="1" applyBorder="1" applyAlignment="1">
      <alignment horizontal="center" vertical="center"/>
    </xf>
    <xf numFmtId="43" fontId="11" fillId="0" borderId="23" xfId="0" applyNumberFormat="1" applyFont="1" applyBorder="1" applyAlignment="1">
      <alignment horizontal="center" vertical="center"/>
    </xf>
    <xf numFmtId="43" fontId="11" fillId="0" borderId="53" xfId="0" applyNumberFormat="1" applyFont="1" applyBorder="1" applyAlignment="1">
      <alignment horizontal="center" vertical="center"/>
    </xf>
    <xf numFmtId="43" fontId="11" fillId="0" borderId="0" xfId="0" applyNumberFormat="1" applyFont="1" applyBorder="1" applyAlignment="1">
      <alignment horizontal="center" vertical="center"/>
    </xf>
    <xf numFmtId="43" fontId="11" fillId="0" borderId="54" xfId="0" applyNumberFormat="1" applyFont="1" applyBorder="1" applyAlignment="1">
      <alignment horizontal="center" vertical="center"/>
    </xf>
    <xf numFmtId="43" fontId="11" fillId="0" borderId="70" xfId="0" applyNumberFormat="1" applyFont="1" applyBorder="1" applyAlignment="1">
      <alignment horizontal="center" vertical="center"/>
    </xf>
    <xf numFmtId="43" fontId="11" fillId="0" borderId="13" xfId="0" applyNumberFormat="1" applyFont="1" applyBorder="1" applyAlignment="1">
      <alignment horizontal="center" vertical="center"/>
    </xf>
    <xf numFmtId="43" fontId="11" fillId="0" borderId="14" xfId="0" applyNumberFormat="1" applyFont="1" applyBorder="1" applyAlignment="1">
      <alignment horizontal="center" vertical="center"/>
    </xf>
    <xf numFmtId="165" fontId="24" fillId="0" borderId="38" xfId="1" applyNumberFormat="1" applyFont="1" applyFill="1" applyBorder="1" applyAlignment="1">
      <alignment horizontal="center" vertical="center"/>
    </xf>
    <xf numFmtId="165" fontId="24" fillId="0" borderId="12" xfId="1" applyNumberFormat="1" applyFont="1" applyFill="1" applyBorder="1" applyAlignment="1">
      <alignment horizontal="center" vertical="center"/>
    </xf>
    <xf numFmtId="43" fontId="11" fillId="35" borderId="34" xfId="1" applyNumberFormat="1" applyFont="1" applyFill="1" applyBorder="1" applyAlignment="1" applyProtection="1">
      <alignment horizontal="center" vertical="center" wrapText="1"/>
      <protection locked="0"/>
    </xf>
    <xf numFmtId="43" fontId="11" fillId="35" borderId="40" xfId="1" applyNumberFormat="1" applyFont="1" applyFill="1" applyBorder="1" applyAlignment="1" applyProtection="1">
      <alignment horizontal="center" vertical="center" wrapText="1"/>
      <protection locked="0"/>
    </xf>
    <xf numFmtId="43" fontId="11" fillId="35" borderId="37" xfId="1" applyNumberFormat="1" applyFont="1" applyFill="1" applyBorder="1" applyAlignment="1" applyProtection="1">
      <alignment horizontal="center" vertical="center" wrapText="1"/>
      <protection locked="0"/>
    </xf>
    <xf numFmtId="0" fontId="11" fillId="7" borderId="56" xfId="1" applyNumberFormat="1" applyFont="1" applyFill="1" applyBorder="1" applyAlignment="1" applyProtection="1">
      <alignment horizontal="center" vertical="center" wrapText="1"/>
    </xf>
    <xf numFmtId="0" fontId="11" fillId="7" borderId="71" xfId="1" applyNumberFormat="1" applyFont="1" applyFill="1" applyBorder="1" applyAlignment="1" applyProtection="1">
      <alignment horizontal="center" vertical="center" wrapText="1"/>
    </xf>
    <xf numFmtId="0" fontId="11" fillId="7" borderId="29" xfId="1" applyNumberFormat="1" applyFont="1" applyFill="1" applyBorder="1" applyAlignment="1" applyProtection="1">
      <alignment horizontal="center" vertical="center" wrapText="1"/>
    </xf>
    <xf numFmtId="0" fontId="17" fillId="21" borderId="63" xfId="0" applyFont="1" applyFill="1" applyBorder="1" applyAlignment="1">
      <alignment horizontal="center" vertical="center" wrapText="1"/>
    </xf>
    <xf numFmtId="0" fontId="17" fillId="27" borderId="63" xfId="0" applyFont="1" applyFill="1" applyBorder="1" applyAlignment="1">
      <alignment horizontal="center" vertical="center" wrapText="1"/>
    </xf>
    <xf numFmtId="0" fontId="15" fillId="11" borderId="63" xfId="0" applyFont="1" applyFill="1" applyBorder="1" applyAlignment="1">
      <alignment horizontal="center" vertical="center" wrapText="1"/>
    </xf>
    <xf numFmtId="0" fontId="15" fillId="12" borderId="63" xfId="0" applyFont="1" applyFill="1" applyBorder="1" applyAlignment="1">
      <alignment horizontal="center" vertical="center" wrapText="1"/>
    </xf>
    <xf numFmtId="0" fontId="15" fillId="12" borderId="50" xfId="0" applyFont="1" applyFill="1" applyBorder="1" applyAlignment="1">
      <alignment horizontal="center" vertical="center" wrapText="1"/>
    </xf>
    <xf numFmtId="0" fontId="11" fillId="10" borderId="30" xfId="1" applyNumberFormat="1" applyFont="1" applyFill="1" applyBorder="1" applyAlignment="1" applyProtection="1">
      <alignment horizontal="center" vertical="center" wrapText="1"/>
    </xf>
    <xf numFmtId="0" fontId="11" fillId="10" borderId="28" xfId="1" applyNumberFormat="1" applyFont="1" applyFill="1" applyBorder="1" applyAlignment="1" applyProtection="1">
      <alignment horizontal="center" vertical="center" wrapText="1"/>
    </xf>
    <xf numFmtId="0" fontId="11" fillId="27" borderId="21" xfId="1" applyNumberFormat="1" applyFont="1" applyFill="1" applyBorder="1" applyAlignment="1" applyProtection="1">
      <alignment horizontal="center" vertical="center" wrapText="1"/>
    </xf>
    <xf numFmtId="0" fontId="11" fillId="27" borderId="11" xfId="1" applyNumberFormat="1" applyFont="1" applyFill="1" applyBorder="1" applyAlignment="1" applyProtection="1">
      <alignment horizontal="center" vertical="center" wrapText="1"/>
    </xf>
    <xf numFmtId="0" fontId="11" fillId="27" borderId="40" xfId="1" applyNumberFormat="1" applyFont="1" applyFill="1" applyBorder="1" applyAlignment="1" applyProtection="1">
      <alignment horizontal="center" vertical="center" wrapText="1"/>
    </xf>
    <xf numFmtId="0" fontId="11" fillId="27" borderId="28" xfId="1" applyNumberFormat="1" applyFont="1" applyFill="1" applyBorder="1" applyAlignment="1" applyProtection="1">
      <alignment horizontal="center" vertical="center" wrapText="1"/>
    </xf>
    <xf numFmtId="0" fontId="11" fillId="7" borderId="34" xfId="1" applyNumberFormat="1" applyFont="1" applyFill="1" applyBorder="1" applyAlignment="1" applyProtection="1">
      <alignment horizontal="center" vertical="center" wrapText="1"/>
    </xf>
    <xf numFmtId="0" fontId="11" fillId="7" borderId="40" xfId="1" applyNumberFormat="1" applyFont="1" applyFill="1" applyBorder="1" applyAlignment="1" applyProtection="1">
      <alignment horizontal="center" vertical="center" wrapText="1"/>
    </xf>
    <xf numFmtId="0" fontId="11" fillId="7" borderId="28" xfId="1" applyNumberFormat="1" applyFont="1" applyFill="1" applyBorder="1" applyAlignment="1" applyProtection="1">
      <alignment horizontal="center" vertical="center" wrapText="1"/>
    </xf>
    <xf numFmtId="0" fontId="15" fillId="22" borderId="57" xfId="0" applyFont="1" applyFill="1" applyBorder="1" applyAlignment="1">
      <alignment horizontal="center" vertical="center" wrapText="1"/>
    </xf>
    <xf numFmtId="0" fontId="15" fillId="22" borderId="63" xfId="0" applyFont="1" applyFill="1" applyBorder="1" applyAlignment="1">
      <alignment horizontal="center" vertical="center" wrapText="1"/>
    </xf>
    <xf numFmtId="0" fontId="15" fillId="22" borderId="51" xfId="0" applyFont="1" applyFill="1" applyBorder="1" applyAlignment="1">
      <alignment horizontal="center" vertical="center" wrapText="1"/>
    </xf>
    <xf numFmtId="0" fontId="11" fillId="10" borderId="21" xfId="1" applyNumberFormat="1" applyFont="1" applyFill="1" applyBorder="1" applyAlignment="1" applyProtection="1">
      <alignment horizontal="center" vertical="center" wrapText="1"/>
    </xf>
    <xf numFmtId="0" fontId="5" fillId="10" borderId="21" xfId="0" applyFont="1" applyFill="1" applyBorder="1" applyAlignment="1" applyProtection="1">
      <alignment horizontal="center" vertical="center" wrapText="1"/>
    </xf>
    <xf numFmtId="0" fontId="11" fillId="22" borderId="28" xfId="1" applyNumberFormat="1" applyFont="1" applyFill="1" applyBorder="1" applyAlignment="1" applyProtection="1">
      <alignment horizontal="center" vertical="center" wrapText="1"/>
    </xf>
    <xf numFmtId="0" fontId="11" fillId="22" borderId="2" xfId="1" applyNumberFormat="1" applyFont="1" applyFill="1" applyBorder="1" applyAlignment="1" applyProtection="1">
      <alignment horizontal="center" vertical="center" wrapText="1"/>
    </xf>
    <xf numFmtId="0" fontId="11" fillId="22" borderId="9" xfId="1" applyNumberFormat="1" applyFont="1" applyFill="1" applyBorder="1" applyAlignment="1" applyProtection="1">
      <alignment horizontal="center" vertical="center" wrapText="1"/>
    </xf>
    <xf numFmtId="0" fontId="11" fillId="10" borderId="40" xfId="1" applyNumberFormat="1" applyFont="1" applyFill="1" applyBorder="1" applyAlignment="1" applyProtection="1">
      <alignment horizontal="center" vertical="center" wrapText="1"/>
    </xf>
    <xf numFmtId="0" fontId="15" fillId="10" borderId="57" xfId="0" applyFont="1" applyFill="1" applyBorder="1" applyAlignment="1">
      <alignment horizontal="center" vertical="center" wrapText="1"/>
    </xf>
    <xf numFmtId="0" fontId="15" fillId="10" borderId="63" xfId="0" applyFont="1" applyFill="1" applyBorder="1" applyAlignment="1">
      <alignment horizontal="center" vertical="center" wrapText="1"/>
    </xf>
    <xf numFmtId="0" fontId="15" fillId="10" borderId="51" xfId="0"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5" fillId="11" borderId="57" xfId="0" applyFont="1" applyFill="1" applyBorder="1" applyAlignment="1">
      <alignment horizontal="center" vertical="center" wrapText="1"/>
    </xf>
    <xf numFmtId="0" fontId="15" fillId="11" borderId="51" xfId="0" applyFont="1" applyFill="1" applyBorder="1" applyAlignment="1">
      <alignment horizontal="center" vertical="center" wrapText="1"/>
    </xf>
    <xf numFmtId="165" fontId="24" fillId="0" borderId="57" xfId="1" applyNumberFormat="1" applyFont="1" applyFill="1" applyBorder="1" applyAlignment="1">
      <alignment horizontal="center" vertical="center"/>
    </xf>
    <xf numFmtId="165" fontId="24" fillId="0" borderId="51" xfId="1" applyNumberFormat="1" applyFont="1" applyFill="1" applyBorder="1" applyAlignment="1">
      <alignment horizontal="center" vertical="center"/>
    </xf>
    <xf numFmtId="0" fontId="17" fillId="17" borderId="57" xfId="0" applyFont="1" applyFill="1" applyBorder="1" applyAlignment="1">
      <alignment horizontal="center" vertical="center" wrapText="1"/>
    </xf>
    <xf numFmtId="0" fontId="17" fillId="17" borderId="63" xfId="0" applyFont="1" applyFill="1" applyBorder="1" applyAlignment="1">
      <alignment horizontal="center" vertical="center" wrapText="1"/>
    </xf>
    <xf numFmtId="0" fontId="17" fillId="17" borderId="51" xfId="0" applyFont="1" applyFill="1" applyBorder="1" applyAlignment="1">
      <alignment horizontal="center" vertical="center" wrapText="1"/>
    </xf>
    <xf numFmtId="0" fontId="11" fillId="6" borderId="57" xfId="0" applyFont="1" applyFill="1" applyBorder="1" applyAlignment="1">
      <alignment horizontal="center" vertical="center" wrapText="1"/>
    </xf>
    <xf numFmtId="0" fontId="11" fillId="6" borderId="63" xfId="0" applyFont="1" applyFill="1" applyBorder="1" applyAlignment="1">
      <alignment horizontal="center" vertical="center" wrapText="1"/>
    </xf>
    <xf numFmtId="0" fontId="11" fillId="6" borderId="51" xfId="0" applyFont="1" applyFill="1" applyBorder="1" applyAlignment="1">
      <alignment horizontal="center" vertical="center" wrapText="1"/>
    </xf>
    <xf numFmtId="0" fontId="11" fillId="17" borderId="35" xfId="1" applyNumberFormat="1" applyFont="1" applyFill="1" applyBorder="1" applyAlignment="1" applyProtection="1">
      <alignment horizontal="center" vertical="center" wrapText="1"/>
    </xf>
    <xf numFmtId="0" fontId="11" fillId="17" borderId="21" xfId="1" applyNumberFormat="1" applyFont="1" applyFill="1" applyBorder="1" applyAlignment="1" applyProtection="1">
      <alignment horizontal="center" vertical="center" wrapText="1"/>
    </xf>
    <xf numFmtId="0" fontId="11" fillId="17" borderId="32" xfId="1" applyNumberFormat="1" applyFont="1" applyFill="1" applyBorder="1" applyAlignment="1" applyProtection="1">
      <alignment horizontal="center" vertical="center" wrapText="1"/>
    </xf>
    <xf numFmtId="0" fontId="5" fillId="17" borderId="35" xfId="0" applyFont="1" applyFill="1" applyBorder="1" applyAlignment="1" applyProtection="1">
      <alignment horizontal="center" vertical="center" wrapText="1"/>
    </xf>
    <xf numFmtId="0" fontId="5" fillId="17" borderId="21" xfId="0" applyFont="1" applyFill="1" applyBorder="1" applyAlignment="1" applyProtection="1">
      <alignment horizontal="center" vertical="center" wrapText="1"/>
    </xf>
    <xf numFmtId="0" fontId="5" fillId="17" borderId="32" xfId="0" applyFont="1" applyFill="1" applyBorder="1" applyAlignment="1" applyProtection="1">
      <alignment horizontal="center" vertical="center" wrapText="1"/>
    </xf>
    <xf numFmtId="0" fontId="11" fillId="0" borderId="38" xfId="0" applyFont="1" applyBorder="1" applyAlignment="1">
      <alignment horizontal="center"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5" fillId="12" borderId="57" xfId="0" applyFont="1" applyFill="1" applyBorder="1" applyAlignment="1">
      <alignment horizontal="center" vertical="center" wrapText="1"/>
    </xf>
    <xf numFmtId="0" fontId="15" fillId="12" borderId="51" xfId="0" applyFont="1" applyFill="1" applyBorder="1" applyAlignment="1">
      <alignment horizontal="center" vertical="center" wrapText="1"/>
    </xf>
    <xf numFmtId="0" fontId="11" fillId="17" borderId="34" xfId="1" applyNumberFormat="1" applyFont="1" applyFill="1" applyBorder="1" applyAlignment="1" applyProtection="1">
      <alignment horizontal="center" vertical="center" wrapText="1"/>
    </xf>
    <xf numFmtId="0" fontId="11" fillId="17" borderId="40" xfId="1" applyNumberFormat="1" applyFont="1" applyFill="1" applyBorder="1" applyAlignment="1" applyProtection="1">
      <alignment horizontal="center" vertical="center" wrapText="1"/>
    </xf>
    <xf numFmtId="0" fontId="11" fillId="17" borderId="37" xfId="1" applyNumberFormat="1" applyFont="1" applyFill="1" applyBorder="1" applyAlignment="1" applyProtection="1">
      <alignment horizontal="center" vertical="center" wrapText="1"/>
    </xf>
    <xf numFmtId="0" fontId="11" fillId="25" borderId="40" xfId="1" applyNumberFormat="1" applyFont="1" applyFill="1" applyBorder="1" applyAlignment="1" applyProtection="1">
      <alignment horizontal="center" vertical="center" wrapText="1"/>
    </xf>
    <xf numFmtId="0" fontId="11" fillId="25" borderId="28" xfId="1" applyNumberFormat="1" applyFont="1" applyFill="1" applyBorder="1" applyAlignment="1" applyProtection="1">
      <alignment horizontal="center" vertical="center" wrapText="1"/>
    </xf>
    <xf numFmtId="0" fontId="11" fillId="10" borderId="34" xfId="1" applyNumberFormat="1" applyFont="1" applyFill="1" applyBorder="1" applyAlignment="1" applyProtection="1">
      <alignment horizontal="center" vertical="center" wrapText="1"/>
    </xf>
  </cellXfs>
  <cellStyles count="4">
    <cellStyle name="Comma" xfId="1" builtinId="3"/>
    <cellStyle name="Comma 2" xfId="3" xr:uid="{46E70C2B-899B-4EC5-B17C-93C8E42AF948}"/>
    <cellStyle name="Normal" xfId="0" builtinId="0"/>
    <cellStyle name="Percent" xfId="2" builtinId="5"/>
  </cellStyles>
  <dxfs count="32">
    <dxf>
      <fill>
        <patternFill>
          <bgColor rgb="FFFFC000"/>
        </patternFill>
      </fill>
    </dxf>
    <dxf>
      <fill>
        <patternFill>
          <bgColor rgb="FFFF0000"/>
        </patternFill>
      </fill>
    </dxf>
    <dxf>
      <fill>
        <patternFill>
          <bgColor rgb="FFFFC000"/>
        </patternFill>
      </fill>
    </dxf>
    <dxf>
      <fill>
        <patternFill>
          <bgColor rgb="FFFF0000"/>
        </patternFill>
      </fill>
    </dxf>
    <dxf>
      <fill>
        <patternFill patternType="gray0625">
          <fgColor theme="6" tint="0.39991454817346722"/>
          <bgColor rgb="FF0FDB14"/>
        </patternFill>
      </fill>
    </dxf>
    <dxf>
      <fill>
        <patternFill>
          <bgColor rgb="FFFFC000"/>
        </patternFill>
      </fill>
    </dxf>
    <dxf>
      <fill>
        <patternFill>
          <bgColor rgb="FFFF0000"/>
        </patternFill>
      </fill>
    </dxf>
    <dxf>
      <fill>
        <patternFill patternType="gray0625">
          <fgColor theme="6" tint="0.39991454817346722"/>
          <bgColor rgb="FF0FDB14"/>
        </patternFill>
      </fill>
    </dxf>
    <dxf>
      <fill>
        <patternFill>
          <bgColor rgb="FFFFC000"/>
        </patternFill>
      </fill>
    </dxf>
    <dxf>
      <fill>
        <patternFill>
          <bgColor rgb="FFFF0000"/>
        </patternFill>
      </fill>
    </dxf>
    <dxf>
      <fill>
        <patternFill patternType="gray0625">
          <fgColor theme="6" tint="0.39991454817346722"/>
          <bgColor rgb="FF0FDB14"/>
        </patternFill>
      </fill>
    </dxf>
    <dxf>
      <fill>
        <patternFill>
          <bgColor rgb="FFFFC000"/>
        </patternFill>
      </fill>
    </dxf>
    <dxf>
      <fill>
        <patternFill>
          <bgColor rgb="FFFF0000"/>
        </patternFill>
      </fill>
    </dxf>
    <dxf>
      <fill>
        <patternFill patternType="gray0625">
          <fgColor theme="6" tint="0.39991454817346722"/>
          <bgColor rgb="FF0FDB14"/>
        </patternFill>
      </fill>
    </dxf>
    <dxf>
      <fill>
        <patternFill>
          <bgColor rgb="FFFFC000"/>
        </patternFill>
      </fill>
    </dxf>
    <dxf>
      <fill>
        <patternFill>
          <bgColor rgb="FFFF0000"/>
        </patternFill>
      </fill>
    </dxf>
    <dxf>
      <fill>
        <patternFill patternType="gray0625">
          <fgColor theme="6" tint="0.39991454817346722"/>
          <bgColor rgb="FF0FDB14"/>
        </patternFill>
      </fill>
    </dxf>
    <dxf>
      <fill>
        <patternFill>
          <bgColor rgb="FFFFC000"/>
        </patternFill>
      </fill>
    </dxf>
    <dxf>
      <fill>
        <patternFill>
          <bgColor rgb="FFFF0000"/>
        </patternFill>
      </fill>
    </dxf>
    <dxf>
      <fill>
        <patternFill patternType="gray0625">
          <fgColor theme="6" tint="0.39991454817346722"/>
          <bgColor rgb="FF0FDB14"/>
        </patternFill>
      </fill>
    </dxf>
    <dxf>
      <fill>
        <patternFill>
          <bgColor rgb="FFFF0000"/>
        </patternFill>
      </fill>
    </dxf>
    <dxf>
      <fill>
        <patternFill patternType="gray0625">
          <fgColor theme="6" tint="0.39991454817346722"/>
          <bgColor rgb="FF0FDB14"/>
        </patternFill>
      </fill>
    </dxf>
    <dxf>
      <fill>
        <patternFill>
          <bgColor rgb="FFFF0000"/>
        </patternFill>
      </fill>
    </dxf>
    <dxf>
      <fill>
        <patternFill patternType="gray0625">
          <fgColor theme="6" tint="0.39991454817346722"/>
          <bgColor rgb="FF0FDB14"/>
        </patternFill>
      </fill>
    </dxf>
    <dxf>
      <fill>
        <patternFill>
          <bgColor rgb="FFFF0000"/>
        </patternFill>
      </fill>
    </dxf>
    <dxf>
      <fill>
        <patternFill patternType="gray0625">
          <fgColor theme="6" tint="0.39991454817346722"/>
          <bgColor rgb="FF0FDB14"/>
        </patternFill>
      </fill>
    </dxf>
    <dxf>
      <fill>
        <patternFill>
          <bgColor rgb="FFFFC000"/>
        </patternFill>
      </fill>
    </dxf>
    <dxf>
      <fill>
        <patternFill>
          <bgColor rgb="FFFF0000"/>
        </patternFill>
      </fill>
    </dxf>
    <dxf>
      <fill>
        <patternFill patternType="gray0625">
          <fgColor theme="6" tint="0.39991454817346722"/>
          <bgColor rgb="FF0FDB14"/>
        </patternFill>
      </fill>
    </dxf>
    <dxf>
      <fill>
        <patternFill>
          <bgColor rgb="FFFF0000"/>
        </patternFill>
      </fill>
    </dxf>
    <dxf>
      <fill>
        <patternFill patternType="gray0625">
          <fgColor theme="6" tint="0.39991454817346722"/>
          <bgColor rgb="FF0FDB14"/>
        </patternFill>
      </fill>
    </dxf>
    <dxf>
      <fill>
        <patternFill>
          <bgColor rgb="FF00B050"/>
        </patternFill>
      </fill>
    </dxf>
  </dxfs>
  <tableStyles count="0" defaultTableStyle="TableStyleMedium2" defaultPivotStyle="PivotStyleLight16"/>
  <colors>
    <mruColors>
      <color rgb="FF00F22E"/>
      <color rgb="FF0FDB14"/>
      <color rgb="FF89C064"/>
      <color rgb="FFC6E0B6"/>
      <color rgb="FFC33509"/>
      <color rgb="FFB7D8A0"/>
      <color rgb="FFF3A671"/>
      <color rgb="FFF94825"/>
      <color rgb="FFF6D3A4"/>
      <color rgb="FFF1BB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94825"/>
        </a:solidFill>
        <a:ln>
          <a:solidFill>
            <a:sysClr val="windowText" lastClr="000000"/>
          </a:solidFill>
        </a:ln>
      </a:spPr>
      <a:bodyPr vertOverflow="clip" horzOverflow="clip" rtlCol="0" anchor="t"/>
      <a:lstStyle>
        <a:defPPr algn="l">
          <a:defRPr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AFC5-7B02-4207-B018-FF182BD32539}">
  <sheetPr codeName="Sheet5">
    <pageSetUpPr fitToPage="1"/>
  </sheetPr>
  <dimension ref="A1:AN101"/>
  <sheetViews>
    <sheetView topLeftCell="O1" zoomScale="85" zoomScaleNormal="85" workbookViewId="0">
      <pane ySplit="1" topLeftCell="A66" activePane="bottomLeft" state="frozen"/>
      <selection activeCell="A74" sqref="A74:O101"/>
      <selection pane="bottomLeft" activeCell="O92" sqref="O92"/>
    </sheetView>
  </sheetViews>
  <sheetFormatPr defaultRowHeight="15" x14ac:dyDescent="0.25"/>
  <cols>
    <col min="1" max="1" width="7.42578125" bestFit="1" customWidth="1"/>
    <col min="2" max="2" width="34.7109375" customWidth="1"/>
    <col min="3" max="3" width="10" customWidth="1"/>
    <col min="4" max="4" width="24.85546875" customWidth="1"/>
    <col min="5" max="5" width="14.5703125" bestFit="1" customWidth="1"/>
    <col min="6" max="6" width="23.7109375" customWidth="1"/>
    <col min="7" max="7" width="55.140625" customWidth="1"/>
    <col min="8" max="8" width="38.85546875" customWidth="1"/>
    <col min="9" max="9" width="13.7109375" customWidth="1"/>
    <col min="10" max="10" width="13.28515625" customWidth="1"/>
    <col min="11" max="11" width="22" style="722" bestFit="1" customWidth="1"/>
    <col min="12" max="12" width="31.42578125" customWidth="1"/>
    <col min="13" max="13" width="42" customWidth="1"/>
    <col min="14" max="14" width="79.85546875" customWidth="1"/>
    <col min="15" max="15" width="40.7109375" style="723" customWidth="1"/>
    <col min="16" max="16" width="83.42578125" customWidth="1"/>
    <col min="17" max="17" width="74.140625" customWidth="1"/>
    <col min="18" max="18" width="79.140625" customWidth="1"/>
    <col min="19" max="19" width="39" customWidth="1"/>
    <col min="20" max="20" width="92.85546875" style="722" bestFit="1" customWidth="1"/>
    <col min="21" max="21" width="28.7109375" customWidth="1"/>
    <col min="22" max="23" width="7.7109375" customWidth="1"/>
    <col min="24" max="24" width="9" customWidth="1"/>
    <col min="25" max="25" width="10.85546875" customWidth="1"/>
    <col min="26" max="26" width="8.7109375" customWidth="1"/>
    <col min="27" max="27" width="9.28515625" customWidth="1"/>
    <col min="28" max="28" width="11.28515625" customWidth="1"/>
    <col min="29" max="29" width="8.7109375" customWidth="1"/>
    <col min="30" max="30" width="10.85546875" customWidth="1"/>
    <col min="31" max="31" width="12.5703125" customWidth="1"/>
    <col min="32" max="33" width="10.85546875" customWidth="1"/>
    <col min="34" max="34" width="9" customWidth="1"/>
    <col min="35" max="35" width="42.42578125" customWidth="1"/>
    <col min="36" max="36" width="26.42578125" bestFit="1" customWidth="1"/>
    <col min="37" max="37" width="22.42578125" customWidth="1"/>
    <col min="38" max="38" width="29" customWidth="1"/>
    <col min="39" max="39" width="44" style="724" customWidth="1"/>
    <col min="40" max="40" width="8" bestFit="1" customWidth="1"/>
  </cols>
  <sheetData>
    <row r="1" spans="1:40" ht="42.75" thickBot="1" x14ac:dyDescent="0.3">
      <c r="A1" s="302" t="s">
        <v>0</v>
      </c>
      <c r="B1" s="303" t="s">
        <v>19</v>
      </c>
      <c r="C1" s="304" t="s">
        <v>115</v>
      </c>
      <c r="D1" s="305" t="s">
        <v>148</v>
      </c>
      <c r="E1" s="306" t="s">
        <v>150</v>
      </c>
      <c r="F1" s="307" t="s">
        <v>143</v>
      </c>
      <c r="G1" s="66" t="s">
        <v>1</v>
      </c>
      <c r="H1" s="1" t="s">
        <v>2</v>
      </c>
      <c r="I1" s="1" t="s">
        <v>64</v>
      </c>
      <c r="J1" s="259" t="s">
        <v>140</v>
      </c>
      <c r="K1" s="1" t="s">
        <v>155</v>
      </c>
      <c r="L1" s="308" t="s">
        <v>248</v>
      </c>
      <c r="M1" s="66" t="s">
        <v>126</v>
      </c>
      <c r="N1" s="229" t="s">
        <v>249</v>
      </c>
      <c r="O1" s="309" t="s">
        <v>250</v>
      </c>
      <c r="P1" s="53" t="s">
        <v>201</v>
      </c>
      <c r="Q1" s="46" t="s">
        <v>226</v>
      </c>
      <c r="R1" s="46" t="s">
        <v>251</v>
      </c>
      <c r="S1" s="67" t="s">
        <v>180</v>
      </c>
      <c r="T1" s="310" t="s">
        <v>252</v>
      </c>
      <c r="U1" s="311">
        <v>2024</v>
      </c>
      <c r="V1" s="312" t="s">
        <v>253</v>
      </c>
      <c r="W1" s="313" t="s">
        <v>254</v>
      </c>
      <c r="X1" s="313" t="s">
        <v>255</v>
      </c>
      <c r="Y1" s="313" t="s">
        <v>256</v>
      </c>
      <c r="Z1" s="313" t="s">
        <v>9</v>
      </c>
      <c r="AA1" s="313" t="s">
        <v>257</v>
      </c>
      <c r="AB1" s="314" t="s">
        <v>258</v>
      </c>
      <c r="AC1" s="315" t="s">
        <v>259</v>
      </c>
      <c r="AD1" s="315" t="s">
        <v>260</v>
      </c>
      <c r="AE1" s="315" t="s">
        <v>261</v>
      </c>
      <c r="AF1" s="315" t="s">
        <v>262</v>
      </c>
      <c r="AG1" s="315" t="s">
        <v>263</v>
      </c>
      <c r="AH1" s="316">
        <v>2026</v>
      </c>
      <c r="AI1" s="311" t="s">
        <v>264</v>
      </c>
      <c r="AJ1" s="317" t="s">
        <v>265</v>
      </c>
      <c r="AK1" s="318" t="s">
        <v>266</v>
      </c>
      <c r="AL1" s="319" t="s">
        <v>144</v>
      </c>
      <c r="AM1" s="320" t="s">
        <v>267</v>
      </c>
      <c r="AN1" s="321"/>
    </row>
    <row r="2" spans="1:40" ht="56.25" x14ac:dyDescent="0.25">
      <c r="A2" s="322">
        <v>1</v>
      </c>
      <c r="B2" s="1381" t="s">
        <v>48</v>
      </c>
      <c r="C2" s="1384" t="s">
        <v>113</v>
      </c>
      <c r="D2" s="1387">
        <v>5929</v>
      </c>
      <c r="E2" s="74">
        <v>1921</v>
      </c>
      <c r="F2" s="1398">
        <v>103009</v>
      </c>
      <c r="G2" s="1389" t="s">
        <v>60</v>
      </c>
      <c r="H2" s="47" t="s">
        <v>61</v>
      </c>
      <c r="I2" s="2">
        <v>9</v>
      </c>
      <c r="J2" s="298" t="s">
        <v>151</v>
      </c>
      <c r="K2" s="76" t="s">
        <v>156</v>
      </c>
      <c r="L2" s="323" t="s">
        <v>157</v>
      </c>
      <c r="M2" s="324" t="s">
        <v>130</v>
      </c>
      <c r="N2" s="228" t="s">
        <v>228</v>
      </c>
      <c r="O2" s="325"/>
      <c r="P2" s="283" t="s">
        <v>202</v>
      </c>
      <c r="Q2" s="283"/>
      <c r="R2" s="283"/>
      <c r="S2" s="70"/>
      <c r="T2" s="326"/>
      <c r="U2" s="327"/>
      <c r="V2" s="328"/>
      <c r="W2" s="329"/>
      <c r="X2" s="329"/>
      <c r="Y2" s="329"/>
      <c r="Z2" s="329"/>
      <c r="AA2" s="329"/>
      <c r="AB2" s="329"/>
      <c r="AC2" s="329"/>
      <c r="AD2" s="330">
        <v>2</v>
      </c>
      <c r="AE2" s="330">
        <v>3</v>
      </c>
      <c r="AF2" s="329"/>
      <c r="AG2" s="330">
        <v>4</v>
      </c>
      <c r="AH2" s="331"/>
      <c r="AI2" s="332" t="s">
        <v>268</v>
      </c>
      <c r="AJ2" s="333" t="s">
        <v>269</v>
      </c>
      <c r="AK2" s="334">
        <v>0</v>
      </c>
      <c r="AL2" s="335">
        <f>1.15*18396000</f>
        <v>21155400</v>
      </c>
      <c r="AM2" s="336" t="str">
        <f>K2 &amp; " | " &amp; IF(T2&lt;&gt;"", "Missing Material", "No Missing") &amp; " | " &amp; AJ2</f>
        <v>In Progress | No Missing | SAFE</v>
      </c>
      <c r="AN2" s="337"/>
    </row>
    <row r="3" spans="1:40" ht="56.25" x14ac:dyDescent="0.25">
      <c r="A3" s="322">
        <v>2</v>
      </c>
      <c r="B3" s="1382"/>
      <c r="C3" s="1385"/>
      <c r="D3" s="1356"/>
      <c r="E3" s="71">
        <v>1923</v>
      </c>
      <c r="F3" s="1358"/>
      <c r="G3" s="1390"/>
      <c r="H3" s="6" t="s">
        <v>65</v>
      </c>
      <c r="I3" s="3">
        <v>9</v>
      </c>
      <c r="J3" s="299" t="s">
        <v>151</v>
      </c>
      <c r="K3" s="72" t="s">
        <v>156</v>
      </c>
      <c r="L3" s="338" t="s">
        <v>157</v>
      </c>
      <c r="M3" s="339" t="s">
        <v>130</v>
      </c>
      <c r="N3" s="213" t="s">
        <v>228</v>
      </c>
      <c r="O3" s="340"/>
      <c r="P3" s="6" t="s">
        <v>203</v>
      </c>
      <c r="Q3" s="6"/>
      <c r="R3" s="6"/>
      <c r="S3" s="35"/>
      <c r="T3" s="341"/>
      <c r="U3" s="342"/>
      <c r="V3" s="343"/>
      <c r="W3" s="344"/>
      <c r="X3" s="344"/>
      <c r="Y3" s="344"/>
      <c r="Z3" s="344"/>
      <c r="AA3" s="344"/>
      <c r="AB3" s="344"/>
      <c r="AC3" s="344"/>
      <c r="AD3" s="345">
        <v>2</v>
      </c>
      <c r="AE3" s="345">
        <v>3</v>
      </c>
      <c r="AF3" s="344"/>
      <c r="AG3" s="345">
        <v>4</v>
      </c>
      <c r="AH3" s="346"/>
      <c r="AI3" s="347" t="s">
        <v>268</v>
      </c>
      <c r="AJ3" s="348" t="s">
        <v>269</v>
      </c>
      <c r="AK3" s="349">
        <v>0</v>
      </c>
      <c r="AL3" s="350">
        <f>14220000*1.15</f>
        <v>16352999.999999998</v>
      </c>
      <c r="AM3" s="351" t="str">
        <f t="shared" ref="AM3:AM66" si="0">K3 &amp; " | " &amp; IF(T3&lt;&gt;"", "Missing Material", "No Missing") &amp; " | " &amp; AJ3</f>
        <v>In Progress | No Missing | SAFE</v>
      </c>
      <c r="AN3" s="337"/>
    </row>
    <row r="4" spans="1:40" ht="56.25" x14ac:dyDescent="0.25">
      <c r="A4" s="322">
        <v>3</v>
      </c>
      <c r="B4" s="1382"/>
      <c r="C4" s="1385"/>
      <c r="D4" s="1356"/>
      <c r="E4" s="71">
        <v>1924</v>
      </c>
      <c r="F4" s="1358"/>
      <c r="G4" s="1390"/>
      <c r="H4" s="6" t="s">
        <v>66</v>
      </c>
      <c r="I4" s="3">
        <v>20</v>
      </c>
      <c r="J4" s="299" t="s">
        <v>151</v>
      </c>
      <c r="K4" s="72" t="s">
        <v>156</v>
      </c>
      <c r="L4" s="338" t="s">
        <v>157</v>
      </c>
      <c r="M4" s="339" t="s">
        <v>131</v>
      </c>
      <c r="N4" s="213" t="s">
        <v>228</v>
      </c>
      <c r="O4" s="340"/>
      <c r="P4" s="6" t="s">
        <v>204</v>
      </c>
      <c r="Q4" s="6"/>
      <c r="R4" s="6"/>
      <c r="S4" s="35"/>
      <c r="T4" s="341"/>
      <c r="U4" s="342"/>
      <c r="V4" s="343"/>
      <c r="W4" s="344"/>
      <c r="X4" s="344"/>
      <c r="Y4" s="344"/>
      <c r="Z4" s="344"/>
      <c r="AA4" s="344"/>
      <c r="AB4" s="344"/>
      <c r="AC4" s="344"/>
      <c r="AD4" s="345">
        <v>5</v>
      </c>
      <c r="AE4" s="345">
        <v>5</v>
      </c>
      <c r="AF4" s="344"/>
      <c r="AG4" s="345">
        <v>10</v>
      </c>
      <c r="AH4" s="346"/>
      <c r="AI4" s="347" t="s">
        <v>268</v>
      </c>
      <c r="AJ4" s="348" t="s">
        <v>269</v>
      </c>
      <c r="AK4" s="349">
        <v>0</v>
      </c>
      <c r="AL4" s="350">
        <f>32506000*1.15</f>
        <v>37381900</v>
      </c>
      <c r="AM4" s="351" t="str">
        <f t="shared" si="0"/>
        <v>In Progress | No Missing | SAFE</v>
      </c>
      <c r="AN4" s="337"/>
    </row>
    <row r="5" spans="1:40" ht="56.25" x14ac:dyDescent="0.25">
      <c r="A5" s="322">
        <v>4</v>
      </c>
      <c r="B5" s="1382"/>
      <c r="C5" s="1385"/>
      <c r="D5" s="1356"/>
      <c r="E5" s="71">
        <v>1922</v>
      </c>
      <c r="F5" s="1358"/>
      <c r="G5" s="1390"/>
      <c r="H5" s="6" t="s">
        <v>67</v>
      </c>
      <c r="I5" s="3">
        <v>9</v>
      </c>
      <c r="J5" s="299" t="s">
        <v>151</v>
      </c>
      <c r="K5" s="72" t="s">
        <v>156</v>
      </c>
      <c r="L5" s="338" t="s">
        <v>157</v>
      </c>
      <c r="M5" s="339" t="s">
        <v>130</v>
      </c>
      <c r="N5" s="213" t="s">
        <v>228</v>
      </c>
      <c r="O5" s="340"/>
      <c r="P5" s="6" t="s">
        <v>203</v>
      </c>
      <c r="Q5" s="168"/>
      <c r="R5" s="168"/>
      <c r="S5" s="35"/>
      <c r="T5" s="341"/>
      <c r="U5" s="342"/>
      <c r="V5" s="343"/>
      <c r="W5" s="344"/>
      <c r="X5" s="344"/>
      <c r="Y5" s="344"/>
      <c r="Z5" s="344"/>
      <c r="AA5" s="344"/>
      <c r="AB5" s="344"/>
      <c r="AC5" s="344"/>
      <c r="AD5" s="345">
        <v>2</v>
      </c>
      <c r="AE5" s="345">
        <v>3</v>
      </c>
      <c r="AF5" s="344"/>
      <c r="AG5" s="345">
        <v>4</v>
      </c>
      <c r="AH5" s="346"/>
      <c r="AI5" s="347" t="s">
        <v>268</v>
      </c>
      <c r="AJ5" s="348" t="s">
        <v>269</v>
      </c>
      <c r="AK5" s="349">
        <v>0</v>
      </c>
      <c r="AL5" s="350">
        <f>7920000*1.15</f>
        <v>9108000</v>
      </c>
      <c r="AM5" s="351" t="str">
        <f t="shared" si="0"/>
        <v>In Progress | No Missing | SAFE</v>
      </c>
      <c r="AN5" s="337"/>
    </row>
    <row r="6" spans="1:40" ht="56.25" x14ac:dyDescent="0.25">
      <c r="A6" s="322">
        <v>5</v>
      </c>
      <c r="B6" s="1382"/>
      <c r="C6" s="1385"/>
      <c r="D6" s="1356"/>
      <c r="E6" s="71">
        <v>1920</v>
      </c>
      <c r="F6" s="1358"/>
      <c r="G6" s="1390"/>
      <c r="H6" s="6" t="s">
        <v>68</v>
      </c>
      <c r="I6" s="352" t="s">
        <v>270</v>
      </c>
      <c r="J6" s="299" t="s">
        <v>151</v>
      </c>
      <c r="K6" s="72" t="s">
        <v>156</v>
      </c>
      <c r="L6" s="338" t="s">
        <v>157</v>
      </c>
      <c r="M6" s="339" t="s">
        <v>132</v>
      </c>
      <c r="N6" s="213" t="s">
        <v>229</v>
      </c>
      <c r="O6" s="340"/>
      <c r="P6" s="6" t="s">
        <v>205</v>
      </c>
      <c r="Q6" s="168"/>
      <c r="R6" s="168"/>
      <c r="S6" s="35"/>
      <c r="T6" s="341"/>
      <c r="U6" s="342"/>
      <c r="V6" s="343"/>
      <c r="W6" s="344"/>
      <c r="X6" s="344"/>
      <c r="Y6" s="344"/>
      <c r="Z6" s="344"/>
      <c r="AA6" s="344"/>
      <c r="AB6" s="344"/>
      <c r="AC6" s="344"/>
      <c r="AD6" s="345">
        <v>3</v>
      </c>
      <c r="AE6" s="345">
        <v>4</v>
      </c>
      <c r="AF6" s="344"/>
      <c r="AG6" s="344"/>
      <c r="AH6" s="346"/>
      <c r="AI6" s="347" t="s">
        <v>268</v>
      </c>
      <c r="AJ6" s="348" t="s">
        <v>269</v>
      </c>
      <c r="AK6" s="349">
        <v>0</v>
      </c>
      <c r="AL6" s="350">
        <f>20958000*1.15</f>
        <v>24101700</v>
      </c>
      <c r="AM6" s="351" t="str">
        <f t="shared" si="0"/>
        <v>In Progress | No Missing | SAFE</v>
      </c>
      <c r="AN6" s="337"/>
    </row>
    <row r="7" spans="1:40" ht="38.25" thickBot="1" x14ac:dyDescent="0.3">
      <c r="A7" s="322">
        <v>6</v>
      </c>
      <c r="B7" s="1382"/>
      <c r="C7" s="1386"/>
      <c r="D7" s="353" t="s">
        <v>187</v>
      </c>
      <c r="E7" s="354"/>
      <c r="F7" s="355">
        <v>103178</v>
      </c>
      <c r="G7" s="356" t="s">
        <v>24</v>
      </c>
      <c r="H7" s="25" t="s">
        <v>139</v>
      </c>
      <c r="I7" s="25">
        <v>120</v>
      </c>
      <c r="J7" s="357" t="s">
        <v>142</v>
      </c>
      <c r="K7" s="358" t="s">
        <v>158</v>
      </c>
      <c r="L7" s="359" t="s">
        <v>271</v>
      </c>
      <c r="M7" s="360">
        <v>45813</v>
      </c>
      <c r="N7" s="361" t="s">
        <v>207</v>
      </c>
      <c r="O7" s="362"/>
      <c r="P7" s="361"/>
      <c r="Q7" s="363"/>
      <c r="R7" s="363"/>
      <c r="S7" s="364"/>
      <c r="T7" s="365"/>
      <c r="U7" s="366"/>
      <c r="V7" s="367"/>
      <c r="W7" s="368"/>
      <c r="X7" s="368"/>
      <c r="Y7" s="368"/>
      <c r="Z7" s="368"/>
      <c r="AA7" s="369" t="s">
        <v>272</v>
      </c>
      <c r="AB7" s="368"/>
      <c r="AC7" s="368"/>
      <c r="AD7" s="368"/>
      <c r="AE7" s="368"/>
      <c r="AF7" s="368"/>
      <c r="AG7" s="368"/>
      <c r="AH7" s="370"/>
      <c r="AI7" s="371" t="s">
        <v>273</v>
      </c>
      <c r="AJ7" s="372" t="s">
        <v>269</v>
      </c>
      <c r="AK7" s="373">
        <v>0</v>
      </c>
      <c r="AL7" s="374">
        <v>19441750</v>
      </c>
      <c r="AM7" s="375" t="str">
        <f t="shared" si="0"/>
        <v>Completed | No Missing | SAFE</v>
      </c>
      <c r="AN7" s="337"/>
    </row>
    <row r="8" spans="1:40" ht="409.5" x14ac:dyDescent="0.25">
      <c r="A8" s="322">
        <v>7</v>
      </c>
      <c r="B8" s="1382"/>
      <c r="C8" s="1384">
        <v>2024</v>
      </c>
      <c r="D8" s="376">
        <v>5818</v>
      </c>
      <c r="E8" s="74">
        <v>1906</v>
      </c>
      <c r="F8" s="297">
        <v>102964</v>
      </c>
      <c r="G8" s="75" t="s">
        <v>58</v>
      </c>
      <c r="H8" s="47" t="s">
        <v>59</v>
      </c>
      <c r="I8" s="47">
        <v>57</v>
      </c>
      <c r="J8" s="298" t="s">
        <v>142</v>
      </c>
      <c r="K8" s="76" t="s">
        <v>274</v>
      </c>
      <c r="L8" s="323" t="s">
        <v>275</v>
      </c>
      <c r="M8" s="377">
        <v>46190</v>
      </c>
      <c r="N8" s="231" t="s">
        <v>238</v>
      </c>
      <c r="O8" s="378">
        <v>45940</v>
      </c>
      <c r="P8" s="201" t="s">
        <v>223</v>
      </c>
      <c r="Q8" s="47" t="s">
        <v>276</v>
      </c>
      <c r="R8" s="47"/>
      <c r="S8" s="77"/>
      <c r="T8" s="379" t="s">
        <v>277</v>
      </c>
      <c r="U8" s="380"/>
      <c r="V8" s="381"/>
      <c r="W8" s="382"/>
      <c r="X8" s="382"/>
      <c r="Y8" s="382"/>
      <c r="Z8" s="382"/>
      <c r="AA8" s="383">
        <v>3</v>
      </c>
      <c r="AB8" s="382"/>
      <c r="AC8" s="384">
        <v>48</v>
      </c>
      <c r="AD8" s="382"/>
      <c r="AE8" s="382"/>
      <c r="AF8" s="382"/>
      <c r="AG8" s="382"/>
      <c r="AH8" s="382"/>
      <c r="AI8" s="385" t="s">
        <v>273</v>
      </c>
      <c r="AJ8" s="386" t="s">
        <v>269</v>
      </c>
      <c r="AK8" s="387">
        <v>0</v>
      </c>
      <c r="AL8" s="388">
        <v>69245310</v>
      </c>
      <c r="AM8" s="389" t="str">
        <f t="shared" si="0"/>
        <v>Pending | Missing Material | SAFE</v>
      </c>
      <c r="AN8" s="337"/>
    </row>
    <row r="9" spans="1:40" ht="37.5" x14ac:dyDescent="0.25">
      <c r="A9" s="322">
        <v>8</v>
      </c>
      <c r="B9" s="1382"/>
      <c r="C9" s="1385"/>
      <c r="D9" s="1388">
        <v>4083</v>
      </c>
      <c r="E9" s="71">
        <v>1593</v>
      </c>
      <c r="F9" s="1399">
        <v>10699</v>
      </c>
      <c r="G9" s="1390" t="s">
        <v>20</v>
      </c>
      <c r="H9" s="6" t="s">
        <v>69</v>
      </c>
      <c r="I9" s="6">
        <v>15</v>
      </c>
      <c r="J9" s="299" t="s">
        <v>142</v>
      </c>
      <c r="K9" s="390" t="s">
        <v>156</v>
      </c>
      <c r="L9" s="1375" t="s">
        <v>157</v>
      </c>
      <c r="M9" s="1371">
        <v>45554</v>
      </c>
      <c r="N9" s="1378">
        <v>45962</v>
      </c>
      <c r="O9" s="1379">
        <v>45910</v>
      </c>
      <c r="P9" s="1380" t="s">
        <v>206</v>
      </c>
      <c r="Q9" s="1365"/>
      <c r="R9" s="1365"/>
      <c r="S9" s="1368"/>
      <c r="T9" s="391"/>
      <c r="U9" s="1371">
        <v>45554</v>
      </c>
      <c r="V9" s="343"/>
      <c r="W9" s="344"/>
      <c r="X9" s="344"/>
      <c r="Y9" s="344"/>
      <c r="Z9" s="344"/>
      <c r="AA9" s="344"/>
      <c r="AB9" s="344"/>
      <c r="AC9" s="344"/>
      <c r="AD9" s="344"/>
      <c r="AE9" s="344"/>
      <c r="AF9" s="392">
        <v>15</v>
      </c>
      <c r="AG9" s="344"/>
      <c r="AH9" s="344"/>
      <c r="AI9" s="1374" t="s">
        <v>278</v>
      </c>
      <c r="AJ9" s="393" t="s">
        <v>279</v>
      </c>
      <c r="AK9" s="1341">
        <f>6%*(AL9+AL10)</f>
        <v>3399105.6</v>
      </c>
      <c r="AL9" s="350">
        <f>1.15*(2520000+59500)*15</f>
        <v>44496375</v>
      </c>
      <c r="AM9" s="351" t="str">
        <f t="shared" si="0"/>
        <v>In Progress | No Missing | APPLIED</v>
      </c>
      <c r="AN9" s="337"/>
    </row>
    <row r="10" spans="1:40" ht="187.5" x14ac:dyDescent="0.25">
      <c r="A10" s="322">
        <v>9</v>
      </c>
      <c r="B10" s="1382"/>
      <c r="C10" s="1385"/>
      <c r="D10" s="1388"/>
      <c r="E10" s="71">
        <v>1589</v>
      </c>
      <c r="F10" s="1399"/>
      <c r="G10" s="1390"/>
      <c r="H10" s="6" t="s">
        <v>70</v>
      </c>
      <c r="I10" s="6">
        <v>6</v>
      </c>
      <c r="J10" s="299" t="s">
        <v>142</v>
      </c>
      <c r="K10" s="390" t="s">
        <v>156</v>
      </c>
      <c r="L10" s="1376"/>
      <c r="M10" s="1372"/>
      <c r="N10" s="1378"/>
      <c r="O10" s="1379"/>
      <c r="P10" s="1380"/>
      <c r="Q10" s="1366"/>
      <c r="R10" s="1366"/>
      <c r="S10" s="1369"/>
      <c r="T10" s="341" t="s">
        <v>280</v>
      </c>
      <c r="U10" s="1372"/>
      <c r="V10" s="343"/>
      <c r="W10" s="344"/>
      <c r="X10" s="344"/>
      <c r="Y10" s="344"/>
      <c r="Z10" s="344"/>
      <c r="AA10" s="344"/>
      <c r="AB10" s="344"/>
      <c r="AC10" s="344"/>
      <c r="AD10" s="344"/>
      <c r="AE10" s="344"/>
      <c r="AF10" s="392">
        <v>6</v>
      </c>
      <c r="AG10" s="344"/>
      <c r="AH10" s="344"/>
      <c r="AI10" s="1374"/>
      <c r="AJ10" s="393" t="s">
        <v>279</v>
      </c>
      <c r="AK10" s="1341"/>
      <c r="AL10" s="350">
        <f>1.15*(1394000+41350+122550+118750+85000)*6</f>
        <v>12155384.999999998</v>
      </c>
      <c r="AM10" s="351" t="str">
        <f t="shared" si="0"/>
        <v>In Progress | Missing Material | APPLIED</v>
      </c>
      <c r="AN10" s="337"/>
    </row>
    <row r="11" spans="1:40" ht="18.75" x14ac:dyDescent="0.25">
      <c r="A11" s="322">
        <v>10</v>
      </c>
      <c r="B11" s="1382"/>
      <c r="C11" s="1385"/>
      <c r="D11" s="1388"/>
      <c r="E11" s="71"/>
      <c r="F11" s="1399"/>
      <c r="G11" s="1390"/>
      <c r="H11" s="6" t="s">
        <v>27</v>
      </c>
      <c r="I11" s="6">
        <v>1</v>
      </c>
      <c r="J11" s="299" t="s">
        <v>142</v>
      </c>
      <c r="K11" s="394"/>
      <c r="L11" s="1376"/>
      <c r="M11" s="1372"/>
      <c r="N11" s="1378"/>
      <c r="O11" s="1379"/>
      <c r="P11" s="1380"/>
      <c r="Q11" s="1366"/>
      <c r="R11" s="1366"/>
      <c r="S11" s="1369"/>
      <c r="T11" s="1351"/>
      <c r="U11" s="1372"/>
      <c r="V11" s="343"/>
      <c r="W11" s="344"/>
      <c r="X11" s="344"/>
      <c r="Y11" s="344"/>
      <c r="Z11" s="344"/>
      <c r="AA11" s="344"/>
      <c r="AB11" s="344"/>
      <c r="AC11" s="344"/>
      <c r="AD11" s="344"/>
      <c r="AE11" s="344"/>
      <c r="AF11" s="392"/>
      <c r="AG11" s="344"/>
      <c r="AH11" s="344"/>
      <c r="AI11" s="1374"/>
      <c r="AJ11" s="1354"/>
      <c r="AK11" s="1341"/>
      <c r="AL11" s="350">
        <f>1.15*126500</f>
        <v>145475</v>
      </c>
      <c r="AM11" s="351" t="str">
        <f t="shared" si="0"/>
        <v xml:space="preserve"> | No Missing | </v>
      </c>
      <c r="AN11" s="337"/>
    </row>
    <row r="12" spans="1:40" ht="18.75" x14ac:dyDescent="0.25">
      <c r="A12" s="322">
        <v>11</v>
      </c>
      <c r="B12" s="1382"/>
      <c r="C12" s="1385"/>
      <c r="D12" s="1388"/>
      <c r="E12" s="71"/>
      <c r="F12" s="1399"/>
      <c r="G12" s="1390"/>
      <c r="H12" s="6" t="s">
        <v>21</v>
      </c>
      <c r="I12" s="6">
        <v>1</v>
      </c>
      <c r="J12" s="299" t="s">
        <v>142</v>
      </c>
      <c r="K12" s="394"/>
      <c r="L12" s="1376"/>
      <c r="M12" s="1372"/>
      <c r="N12" s="1378"/>
      <c r="O12" s="1379"/>
      <c r="P12" s="1380"/>
      <c r="Q12" s="1366"/>
      <c r="R12" s="1366"/>
      <c r="S12" s="1369"/>
      <c r="T12" s="1352"/>
      <c r="U12" s="1372"/>
      <c r="V12" s="343"/>
      <c r="W12" s="344"/>
      <c r="X12" s="344"/>
      <c r="Y12" s="344"/>
      <c r="Z12" s="344"/>
      <c r="AA12" s="344"/>
      <c r="AB12" s="344"/>
      <c r="AC12" s="344"/>
      <c r="AD12" s="344"/>
      <c r="AE12" s="344"/>
      <c r="AF12" s="392"/>
      <c r="AG12" s="344"/>
      <c r="AH12" s="344"/>
      <c r="AI12" s="1374"/>
      <c r="AJ12" s="1354"/>
      <c r="AK12" s="1341"/>
      <c r="AL12" s="350">
        <f>1.15*1080000</f>
        <v>1242000</v>
      </c>
      <c r="AM12" s="351" t="str">
        <f t="shared" si="0"/>
        <v xml:space="preserve"> | No Missing | </v>
      </c>
      <c r="AN12" s="337"/>
    </row>
    <row r="13" spans="1:40" ht="18.75" x14ac:dyDescent="0.25">
      <c r="A13" s="322">
        <v>12</v>
      </c>
      <c r="B13" s="1382"/>
      <c r="C13" s="1385"/>
      <c r="D13" s="1388"/>
      <c r="E13" s="71"/>
      <c r="F13" s="1399"/>
      <c r="G13" s="1390"/>
      <c r="H13" s="6" t="s">
        <v>22</v>
      </c>
      <c r="I13" s="6">
        <v>1</v>
      </c>
      <c r="J13" s="299" t="s">
        <v>142</v>
      </c>
      <c r="K13" s="69"/>
      <c r="L13" s="1377"/>
      <c r="M13" s="1373"/>
      <c r="N13" s="1378"/>
      <c r="O13" s="1379"/>
      <c r="P13" s="1380"/>
      <c r="Q13" s="1367"/>
      <c r="R13" s="1367"/>
      <c r="S13" s="1370"/>
      <c r="T13" s="1353"/>
      <c r="U13" s="1373"/>
      <c r="V13" s="395"/>
      <c r="W13" s="396"/>
      <c r="X13" s="396"/>
      <c r="Y13" s="396"/>
      <c r="Z13" s="396"/>
      <c r="AA13" s="396"/>
      <c r="AB13" s="396"/>
      <c r="AC13" s="396"/>
      <c r="AD13" s="396"/>
      <c r="AE13" s="396"/>
      <c r="AF13" s="397"/>
      <c r="AG13" s="396"/>
      <c r="AH13" s="396"/>
      <c r="AI13" s="1374"/>
      <c r="AJ13" s="1355"/>
      <c r="AK13" s="1341"/>
      <c r="AL13" s="350">
        <f>1.15*4200000</f>
        <v>4830000</v>
      </c>
      <c r="AM13" s="351" t="str">
        <f t="shared" si="0"/>
        <v xml:space="preserve"> | No Missing | </v>
      </c>
      <c r="AN13" s="337"/>
    </row>
    <row r="14" spans="1:40" ht="37.5" x14ac:dyDescent="0.25">
      <c r="A14" s="322">
        <v>13</v>
      </c>
      <c r="B14" s="1382"/>
      <c r="C14" s="1385"/>
      <c r="D14" s="1356">
        <v>5001</v>
      </c>
      <c r="E14" s="398">
        <v>1801</v>
      </c>
      <c r="F14" s="1358">
        <v>102741</v>
      </c>
      <c r="G14" s="1360" t="s">
        <v>28</v>
      </c>
      <c r="H14" s="24" t="s">
        <v>82</v>
      </c>
      <c r="I14" s="24">
        <v>2</v>
      </c>
      <c r="J14" s="299" t="s">
        <v>151</v>
      </c>
      <c r="K14" s="72" t="s">
        <v>274</v>
      </c>
      <c r="L14" s="1362" t="s">
        <v>157</v>
      </c>
      <c r="M14" s="399">
        <v>45750</v>
      </c>
      <c r="N14" s="400" t="s">
        <v>154</v>
      </c>
      <c r="O14" s="325"/>
      <c r="P14" s="284"/>
      <c r="Q14" s="401" t="s">
        <v>163</v>
      </c>
      <c r="R14" s="402" t="s">
        <v>281</v>
      </c>
      <c r="S14" s="403">
        <v>2</v>
      </c>
      <c r="T14" s="404"/>
      <c r="U14" s="399">
        <v>45750</v>
      </c>
      <c r="V14" s="343"/>
      <c r="W14" s="344"/>
      <c r="X14" s="344"/>
      <c r="Y14" s="405"/>
      <c r="Z14" s="406"/>
      <c r="AA14" s="344"/>
      <c r="AB14" s="344"/>
      <c r="AC14" s="392">
        <v>2</v>
      </c>
      <c r="AD14" s="406"/>
      <c r="AE14" s="344"/>
      <c r="AF14" s="344"/>
      <c r="AG14" s="344"/>
      <c r="AH14" s="344"/>
      <c r="AI14" s="407" t="s">
        <v>273</v>
      </c>
      <c r="AJ14" s="348" t="s">
        <v>269</v>
      </c>
      <c r="AK14" s="349">
        <f>6%*AL14</f>
        <v>259440</v>
      </c>
      <c r="AL14" s="335">
        <f>1.15*3760000</f>
        <v>4324000</v>
      </c>
      <c r="AM14" s="336" t="str">
        <f t="shared" si="0"/>
        <v>Pending | No Missing | SAFE</v>
      </c>
      <c r="AN14" s="337"/>
    </row>
    <row r="15" spans="1:40" ht="37.5" x14ac:dyDescent="0.25">
      <c r="A15" s="322">
        <v>14</v>
      </c>
      <c r="B15" s="1382"/>
      <c r="C15" s="1385"/>
      <c r="D15" s="1356"/>
      <c r="E15" s="398"/>
      <c r="F15" s="1358"/>
      <c r="G15" s="1360"/>
      <c r="H15" s="24" t="s">
        <v>81</v>
      </c>
      <c r="I15" s="24">
        <v>4</v>
      </c>
      <c r="J15" s="299" t="s">
        <v>151</v>
      </c>
      <c r="K15" s="408" t="s">
        <v>158</v>
      </c>
      <c r="L15" s="1363"/>
      <c r="M15" s="409">
        <v>45599</v>
      </c>
      <c r="N15" s="232">
        <v>45778</v>
      </c>
      <c r="O15" s="340"/>
      <c r="P15" s="213"/>
      <c r="Q15" s="169" t="s">
        <v>164</v>
      </c>
      <c r="R15" s="169"/>
      <c r="S15" s="35">
        <v>4</v>
      </c>
      <c r="T15" s="341"/>
      <c r="U15" s="409">
        <v>45599</v>
      </c>
      <c r="V15" s="343"/>
      <c r="W15" s="344"/>
      <c r="X15" s="344"/>
      <c r="Y15" s="344"/>
      <c r="Z15" s="410">
        <v>4</v>
      </c>
      <c r="AA15" s="344"/>
      <c r="AB15" s="344"/>
      <c r="AC15" s="344"/>
      <c r="AD15" s="406"/>
      <c r="AE15" s="344"/>
      <c r="AF15" s="344"/>
      <c r="AG15" s="344"/>
      <c r="AH15" s="344"/>
      <c r="AI15" s="407" t="s">
        <v>273</v>
      </c>
      <c r="AJ15" s="348" t="s">
        <v>269</v>
      </c>
      <c r="AK15" s="349">
        <f>6%*AL15</f>
        <v>402959.99999999994</v>
      </c>
      <c r="AL15" s="350">
        <f>1.15*5840000</f>
        <v>6715999.9999999991</v>
      </c>
      <c r="AM15" s="351" t="str">
        <f t="shared" si="0"/>
        <v>Completed | No Missing | SAFE</v>
      </c>
      <c r="AN15" s="337"/>
    </row>
    <row r="16" spans="1:40" ht="38.25" thickBot="1" x14ac:dyDescent="0.3">
      <c r="A16" s="322">
        <v>15</v>
      </c>
      <c r="B16" s="1383"/>
      <c r="C16" s="1386"/>
      <c r="D16" s="1357"/>
      <c r="E16" s="353">
        <v>1799</v>
      </c>
      <c r="F16" s="1359"/>
      <c r="G16" s="1361"/>
      <c r="H16" s="25" t="s">
        <v>80</v>
      </c>
      <c r="I16" s="25">
        <v>2</v>
      </c>
      <c r="J16" s="357" t="s">
        <v>151</v>
      </c>
      <c r="K16" s="73" t="s">
        <v>274</v>
      </c>
      <c r="L16" s="1364"/>
      <c r="M16" s="411">
        <v>45750</v>
      </c>
      <c r="N16" s="412" t="s">
        <v>154</v>
      </c>
      <c r="O16" s="413"/>
      <c r="P16" s="214"/>
      <c r="Q16" s="170" t="s">
        <v>163</v>
      </c>
      <c r="R16" s="414" t="s">
        <v>281</v>
      </c>
      <c r="S16" s="78">
        <v>2</v>
      </c>
      <c r="T16" s="415"/>
      <c r="U16" s="411">
        <v>45750</v>
      </c>
      <c r="V16" s="416"/>
      <c r="W16" s="417"/>
      <c r="X16" s="417"/>
      <c r="Y16" s="418"/>
      <c r="Z16" s="419"/>
      <c r="AA16" s="417"/>
      <c r="AB16" s="417"/>
      <c r="AC16" s="420">
        <v>2</v>
      </c>
      <c r="AD16" s="419"/>
      <c r="AE16" s="417"/>
      <c r="AF16" s="417"/>
      <c r="AG16" s="417"/>
      <c r="AH16" s="417"/>
      <c r="AI16" s="421" t="s">
        <v>273</v>
      </c>
      <c r="AJ16" s="422" t="s">
        <v>269</v>
      </c>
      <c r="AK16" s="423">
        <f>6%*AL16</f>
        <v>206309.99999999997</v>
      </c>
      <c r="AL16" s="374">
        <f>1.15*2990000</f>
        <v>3438499.9999999995</v>
      </c>
      <c r="AM16" s="375" t="str">
        <f t="shared" si="0"/>
        <v>Pending | No Missing | SAFE</v>
      </c>
      <c r="AN16" s="337"/>
    </row>
    <row r="17" spans="1:40" ht="37.5" x14ac:dyDescent="0.25">
      <c r="A17" s="322">
        <v>16</v>
      </c>
      <c r="B17" s="1391" t="s">
        <v>51</v>
      </c>
      <c r="C17" s="1394" t="s">
        <v>113</v>
      </c>
      <c r="D17" s="424">
        <v>5944</v>
      </c>
      <c r="E17" s="424" t="s">
        <v>134</v>
      </c>
      <c r="F17" s="425">
        <v>103013</v>
      </c>
      <c r="G17" s="426" t="s">
        <v>110</v>
      </c>
      <c r="H17" s="427" t="s">
        <v>38</v>
      </c>
      <c r="I17" s="427">
        <v>1</v>
      </c>
      <c r="J17" s="261" t="s">
        <v>151</v>
      </c>
      <c r="K17" s="428" t="s">
        <v>158</v>
      </c>
      <c r="L17" s="429" t="s">
        <v>157</v>
      </c>
      <c r="M17" s="430" t="s">
        <v>231</v>
      </c>
      <c r="N17" s="431" t="s">
        <v>154</v>
      </c>
      <c r="O17" s="432"/>
      <c r="P17" s="202"/>
      <c r="Q17" s="171"/>
      <c r="R17" s="171"/>
      <c r="S17" s="65"/>
      <c r="T17" s="379"/>
      <c r="U17" s="433"/>
      <c r="V17" s="434"/>
      <c r="W17" s="435"/>
      <c r="X17" s="435"/>
      <c r="Y17" s="435"/>
      <c r="Z17" s="435"/>
      <c r="AA17" s="435"/>
      <c r="AB17" s="435"/>
      <c r="AC17" s="435"/>
      <c r="AD17" s="435"/>
      <c r="AE17" s="435"/>
      <c r="AF17" s="435"/>
      <c r="AG17" s="435"/>
      <c r="AH17" s="435"/>
      <c r="AI17" s="436" t="s">
        <v>273</v>
      </c>
      <c r="AJ17" s="333" t="s">
        <v>269</v>
      </c>
      <c r="AK17" s="334">
        <v>0</v>
      </c>
      <c r="AL17" s="437">
        <f>1.15*490000</f>
        <v>563500</v>
      </c>
      <c r="AM17" s="438" t="str">
        <f t="shared" si="0"/>
        <v>Completed | No Missing | SAFE</v>
      </c>
      <c r="AN17" s="337"/>
    </row>
    <row r="18" spans="1:40" ht="18.75" x14ac:dyDescent="0.25">
      <c r="A18" s="322">
        <v>17</v>
      </c>
      <c r="B18" s="1392"/>
      <c r="C18" s="1343"/>
      <c r="D18" s="1345">
        <v>6151</v>
      </c>
      <c r="E18" s="83"/>
      <c r="F18" s="1347">
        <v>103084</v>
      </c>
      <c r="G18" s="1349" t="s">
        <v>123</v>
      </c>
      <c r="H18" s="84" t="s">
        <v>124</v>
      </c>
      <c r="I18" s="84">
        <v>2</v>
      </c>
      <c r="J18" s="260" t="s">
        <v>142</v>
      </c>
      <c r="K18" s="85" t="s">
        <v>156</v>
      </c>
      <c r="L18" s="439" t="s">
        <v>157</v>
      </c>
      <c r="M18" s="324">
        <v>46050</v>
      </c>
      <c r="N18" s="440">
        <v>46050</v>
      </c>
      <c r="O18" s="441"/>
      <c r="P18" s="442"/>
      <c r="Q18" s="443"/>
      <c r="R18" s="443"/>
      <c r="S18" s="444"/>
      <c r="T18" s="404"/>
      <c r="U18" s="433"/>
      <c r="V18" s="434"/>
      <c r="W18" s="435"/>
      <c r="X18" s="435"/>
      <c r="Y18" s="435"/>
      <c r="Z18" s="435"/>
      <c r="AA18" s="435"/>
      <c r="AB18" s="435"/>
      <c r="AC18" s="435"/>
      <c r="AD18" s="435"/>
      <c r="AE18" s="435"/>
      <c r="AF18" s="435"/>
      <c r="AG18" s="435"/>
      <c r="AH18" s="445"/>
      <c r="AI18" s="1338" t="s">
        <v>282</v>
      </c>
      <c r="AJ18" s="393" t="s">
        <v>269</v>
      </c>
      <c r="AK18" s="1340">
        <v>0</v>
      </c>
      <c r="AL18" s="437">
        <f>1.15*2787000</f>
        <v>3205049.9999999995</v>
      </c>
      <c r="AM18" s="438" t="str">
        <f t="shared" si="0"/>
        <v>In Progress | No Missing | SAFE</v>
      </c>
      <c r="AN18" s="337"/>
    </row>
    <row r="19" spans="1:40" ht="18.75" x14ac:dyDescent="0.25">
      <c r="A19" s="322">
        <v>18</v>
      </c>
      <c r="B19" s="1392"/>
      <c r="C19" s="1343"/>
      <c r="D19" s="1345"/>
      <c r="E19" s="83"/>
      <c r="F19" s="1347"/>
      <c r="G19" s="1349"/>
      <c r="H19" s="84" t="s">
        <v>125</v>
      </c>
      <c r="I19" s="84">
        <v>3</v>
      </c>
      <c r="J19" s="260" t="s">
        <v>142</v>
      </c>
      <c r="K19" s="85" t="s">
        <v>156</v>
      </c>
      <c r="L19" s="439" t="s">
        <v>157</v>
      </c>
      <c r="M19" s="339">
        <v>46050</v>
      </c>
      <c r="N19" s="233">
        <v>46050</v>
      </c>
      <c r="O19" s="446"/>
      <c r="P19" s="215"/>
      <c r="Q19" s="172"/>
      <c r="R19" s="172"/>
      <c r="S19" s="36"/>
      <c r="T19" s="341"/>
      <c r="U19" s="447"/>
      <c r="V19" s="448"/>
      <c r="W19" s="449"/>
      <c r="X19" s="449"/>
      <c r="Y19" s="449"/>
      <c r="Z19" s="449"/>
      <c r="AA19" s="449"/>
      <c r="AB19" s="449"/>
      <c r="AC19" s="449"/>
      <c r="AD19" s="449"/>
      <c r="AE19" s="449"/>
      <c r="AF19" s="449"/>
      <c r="AG19" s="449"/>
      <c r="AH19" s="450"/>
      <c r="AI19" s="1339"/>
      <c r="AJ19" s="393" t="s">
        <v>269</v>
      </c>
      <c r="AK19" s="1341"/>
      <c r="AL19" s="451">
        <f>1.15*4761900</f>
        <v>5476185</v>
      </c>
      <c r="AM19" s="452" t="str">
        <f t="shared" si="0"/>
        <v>In Progress | No Missing | SAFE</v>
      </c>
      <c r="AN19" s="337"/>
    </row>
    <row r="20" spans="1:40" ht="57" thickBot="1" x14ac:dyDescent="0.3">
      <c r="A20" s="322">
        <v>19</v>
      </c>
      <c r="B20" s="1392"/>
      <c r="C20" s="1344"/>
      <c r="D20" s="86">
        <v>6772</v>
      </c>
      <c r="E20" s="86">
        <v>103165</v>
      </c>
      <c r="F20" s="286">
        <v>103165</v>
      </c>
      <c r="G20" s="288" t="s">
        <v>123</v>
      </c>
      <c r="H20" s="87" t="s">
        <v>76</v>
      </c>
      <c r="I20" s="87">
        <v>1</v>
      </c>
      <c r="J20" s="260" t="s">
        <v>142</v>
      </c>
      <c r="K20" s="88" t="s">
        <v>274</v>
      </c>
      <c r="L20" s="453" t="s">
        <v>275</v>
      </c>
      <c r="M20" s="454">
        <v>45889</v>
      </c>
      <c r="N20" s="233">
        <v>45945</v>
      </c>
      <c r="O20" s="455">
        <v>45945</v>
      </c>
      <c r="P20" s="216"/>
      <c r="Q20" s="456" t="s">
        <v>283</v>
      </c>
      <c r="R20" s="173"/>
      <c r="S20" s="37"/>
      <c r="T20" s="415" t="s">
        <v>284</v>
      </c>
      <c r="U20" s="457" t="s">
        <v>284</v>
      </c>
      <c r="V20" s="458"/>
      <c r="W20" s="459"/>
      <c r="X20" s="459"/>
      <c r="Y20" s="459"/>
      <c r="Z20" s="459"/>
      <c r="AA20" s="459"/>
      <c r="AB20" s="459"/>
      <c r="AC20" s="418">
        <v>1</v>
      </c>
      <c r="AD20" s="459"/>
      <c r="AE20" s="420" t="s">
        <v>285</v>
      </c>
      <c r="AF20" s="459"/>
      <c r="AG20" s="459"/>
      <c r="AH20" s="459"/>
      <c r="AI20" s="460" t="s">
        <v>282</v>
      </c>
      <c r="AJ20" s="461" t="s">
        <v>279</v>
      </c>
      <c r="AK20" s="462">
        <f>6%*AL20</f>
        <v>43677</v>
      </c>
      <c r="AL20" s="451">
        <f>1.15*633000</f>
        <v>727950</v>
      </c>
      <c r="AM20" s="452" t="str">
        <f t="shared" si="0"/>
        <v>Pending | Missing Material | APPLIED</v>
      </c>
      <c r="AN20" s="337"/>
    </row>
    <row r="21" spans="1:40" ht="18.75" x14ac:dyDescent="0.25">
      <c r="A21" s="322">
        <v>20</v>
      </c>
      <c r="B21" s="1392"/>
      <c r="C21" s="1342">
        <v>2024</v>
      </c>
      <c r="D21" s="79">
        <v>3605</v>
      </c>
      <c r="E21" s="79"/>
      <c r="F21" s="80">
        <v>102079</v>
      </c>
      <c r="G21" s="54" t="s">
        <v>25</v>
      </c>
      <c r="H21" s="81" t="s">
        <v>26</v>
      </c>
      <c r="I21" s="81">
        <v>1</v>
      </c>
      <c r="J21" s="261" t="s">
        <v>151</v>
      </c>
      <c r="K21" s="463" t="s">
        <v>158</v>
      </c>
      <c r="L21" s="464" t="s">
        <v>157</v>
      </c>
      <c r="M21" s="465" t="s">
        <v>127</v>
      </c>
      <c r="N21" s="466" t="s">
        <v>127</v>
      </c>
      <c r="O21" s="432"/>
      <c r="P21" s="81" t="s">
        <v>207</v>
      </c>
      <c r="Q21" s="171"/>
      <c r="R21" s="171"/>
      <c r="S21" s="65"/>
      <c r="T21" s="379"/>
      <c r="U21" s="447"/>
      <c r="V21" s="448"/>
      <c r="W21" s="449"/>
      <c r="X21" s="449"/>
      <c r="Y21" s="449"/>
      <c r="Z21" s="467">
        <v>1</v>
      </c>
      <c r="AA21" s="449"/>
      <c r="AB21" s="449"/>
      <c r="AC21" s="449"/>
      <c r="AD21" s="449"/>
      <c r="AE21" s="449"/>
      <c r="AF21" s="449"/>
      <c r="AG21" s="449"/>
      <c r="AH21" s="449"/>
      <c r="AI21" s="385"/>
      <c r="AJ21" s="386" t="s">
        <v>269</v>
      </c>
      <c r="AK21" s="387"/>
      <c r="AL21" s="468">
        <v>831000</v>
      </c>
      <c r="AM21" s="469" t="str">
        <f t="shared" si="0"/>
        <v>Completed | No Missing | SAFE</v>
      </c>
      <c r="AN21" s="337"/>
    </row>
    <row r="22" spans="1:40" ht="18.75" x14ac:dyDescent="0.25">
      <c r="A22" s="322">
        <v>21</v>
      </c>
      <c r="B22" s="1392"/>
      <c r="C22" s="1343"/>
      <c r="D22" s="83">
        <v>4109</v>
      </c>
      <c r="E22" s="83" t="s">
        <v>145</v>
      </c>
      <c r="F22" s="285">
        <v>102412</v>
      </c>
      <c r="G22" s="287" t="s">
        <v>29</v>
      </c>
      <c r="H22" s="84" t="s">
        <v>30</v>
      </c>
      <c r="I22" s="84">
        <v>2</v>
      </c>
      <c r="J22" s="260" t="s">
        <v>141</v>
      </c>
      <c r="K22" s="85" t="s">
        <v>156</v>
      </c>
      <c r="L22" s="439" t="s">
        <v>157</v>
      </c>
      <c r="M22" s="409">
        <v>45538</v>
      </c>
      <c r="N22" s="227">
        <v>45852</v>
      </c>
      <c r="O22" s="446"/>
      <c r="P22" s="84" t="s">
        <v>208</v>
      </c>
      <c r="Q22" s="172"/>
      <c r="R22" s="172"/>
      <c r="S22" s="36"/>
      <c r="T22" s="341"/>
      <c r="U22" s="409">
        <v>45538</v>
      </c>
      <c r="V22" s="448"/>
      <c r="W22" s="449"/>
      <c r="X22" s="449"/>
      <c r="Y22" s="449"/>
      <c r="Z22" s="449"/>
      <c r="AA22" s="449"/>
      <c r="AB22" s="392">
        <v>2</v>
      </c>
      <c r="AC22" s="449"/>
      <c r="AD22" s="449"/>
      <c r="AE22" s="449"/>
      <c r="AF22" s="449"/>
      <c r="AG22" s="449"/>
      <c r="AH22" s="449"/>
      <c r="AI22" s="407" t="s">
        <v>282</v>
      </c>
      <c r="AJ22" s="348" t="s">
        <v>279</v>
      </c>
      <c r="AK22" s="349">
        <f>6%*AL22</f>
        <v>127905.29999999999</v>
      </c>
      <c r="AL22" s="451">
        <f>1.15*1853700</f>
        <v>2131755</v>
      </c>
      <c r="AM22" s="452" t="str">
        <f t="shared" si="0"/>
        <v>In Progress | No Missing | APPLIED</v>
      </c>
      <c r="AN22" s="337"/>
    </row>
    <row r="23" spans="1:40" ht="56.25" x14ac:dyDescent="0.25">
      <c r="A23" s="322">
        <v>22</v>
      </c>
      <c r="B23" s="1392"/>
      <c r="C23" s="1343"/>
      <c r="D23" s="83">
        <v>5297</v>
      </c>
      <c r="E23" s="83"/>
      <c r="F23" s="285">
        <v>102826</v>
      </c>
      <c r="G23" s="287" t="s">
        <v>89</v>
      </c>
      <c r="H23" s="84" t="s">
        <v>90</v>
      </c>
      <c r="I23" s="84">
        <v>2</v>
      </c>
      <c r="J23" s="260" t="s">
        <v>151</v>
      </c>
      <c r="K23" s="85" t="s">
        <v>274</v>
      </c>
      <c r="L23" s="439" t="s">
        <v>247</v>
      </c>
      <c r="M23" s="470" t="s">
        <v>138</v>
      </c>
      <c r="N23" s="471" t="s">
        <v>234</v>
      </c>
      <c r="O23" s="446">
        <v>45910</v>
      </c>
      <c r="P23" s="84" t="s">
        <v>232</v>
      </c>
      <c r="Q23" s="172"/>
      <c r="R23" s="172" t="s">
        <v>233</v>
      </c>
      <c r="S23" s="36"/>
      <c r="T23" s="341" t="s">
        <v>286</v>
      </c>
      <c r="U23" s="447"/>
      <c r="V23" s="448"/>
      <c r="W23" s="449"/>
      <c r="X23" s="449"/>
      <c r="Y23" s="449"/>
      <c r="Z23" s="449"/>
      <c r="AA23" s="449"/>
      <c r="AB23" s="449"/>
      <c r="AC23" s="449"/>
      <c r="AD23" s="392">
        <v>2</v>
      </c>
      <c r="AE23" s="449"/>
      <c r="AF23" s="449"/>
      <c r="AG23" s="449"/>
      <c r="AH23" s="449"/>
      <c r="AI23" s="407" t="s">
        <v>282</v>
      </c>
      <c r="AJ23" s="348" t="s">
        <v>279</v>
      </c>
      <c r="AK23" s="349">
        <f>6%*AL23</f>
        <v>55200</v>
      </c>
      <c r="AL23" s="451">
        <v>920000</v>
      </c>
      <c r="AM23" s="452" t="str">
        <f t="shared" si="0"/>
        <v>Pending | Missing Material | APPLIED</v>
      </c>
      <c r="AN23" s="472" t="s">
        <v>287</v>
      </c>
    </row>
    <row r="24" spans="1:40" ht="37.5" x14ac:dyDescent="0.25">
      <c r="A24" s="322">
        <v>23</v>
      </c>
      <c r="B24" s="1392"/>
      <c r="C24" s="1343"/>
      <c r="D24" s="1345">
        <v>5186</v>
      </c>
      <c r="E24" s="83">
        <v>1822</v>
      </c>
      <c r="F24" s="1347">
        <v>102800</v>
      </c>
      <c r="G24" s="1349" t="s">
        <v>28</v>
      </c>
      <c r="H24" s="84" t="s">
        <v>79</v>
      </c>
      <c r="I24" s="84">
        <v>2</v>
      </c>
      <c r="J24" s="260" t="s">
        <v>151</v>
      </c>
      <c r="K24" s="85" t="s">
        <v>156</v>
      </c>
      <c r="L24" s="439" t="s">
        <v>157</v>
      </c>
      <c r="M24" s="409">
        <v>45799</v>
      </c>
      <c r="N24" s="233" t="s">
        <v>235</v>
      </c>
      <c r="O24" s="446"/>
      <c r="P24" s="84" t="s">
        <v>209</v>
      </c>
      <c r="Q24" s="172"/>
      <c r="R24" s="172"/>
      <c r="S24" s="36"/>
      <c r="T24" s="341"/>
      <c r="U24" s="447"/>
      <c r="V24" s="448"/>
      <c r="W24" s="449"/>
      <c r="X24" s="449"/>
      <c r="Y24" s="449"/>
      <c r="Z24" s="473"/>
      <c r="AA24" s="449"/>
      <c r="AB24" s="449"/>
      <c r="AC24" s="392">
        <v>2</v>
      </c>
      <c r="AD24" s="449"/>
      <c r="AE24" s="449"/>
      <c r="AF24" s="449"/>
      <c r="AG24" s="449"/>
      <c r="AH24" s="449"/>
      <c r="AI24" s="474" t="s">
        <v>273</v>
      </c>
      <c r="AJ24" s="348" t="s">
        <v>279</v>
      </c>
      <c r="AK24" s="349">
        <f>6%*AL24</f>
        <v>369977.99999999994</v>
      </c>
      <c r="AL24" s="451">
        <f>1.15*2*2681000</f>
        <v>6166299.9999999991</v>
      </c>
      <c r="AM24" s="452" t="str">
        <f t="shared" si="0"/>
        <v>In Progress | No Missing | APPLIED</v>
      </c>
      <c r="AN24" s="337"/>
    </row>
    <row r="25" spans="1:40" ht="38.25" thickBot="1" x14ac:dyDescent="0.3">
      <c r="A25" s="322">
        <v>24</v>
      </c>
      <c r="B25" s="1393"/>
      <c r="C25" s="1344"/>
      <c r="D25" s="1346"/>
      <c r="E25" s="86">
        <v>1821</v>
      </c>
      <c r="F25" s="1348"/>
      <c r="G25" s="1350"/>
      <c r="H25" s="87" t="s">
        <v>55</v>
      </c>
      <c r="I25" s="87">
        <v>2</v>
      </c>
      <c r="J25" s="262" t="s">
        <v>151</v>
      </c>
      <c r="K25" s="88" t="s">
        <v>156</v>
      </c>
      <c r="L25" s="453" t="s">
        <v>157</v>
      </c>
      <c r="M25" s="411">
        <v>45679</v>
      </c>
      <c r="N25" s="173" t="s">
        <v>239</v>
      </c>
      <c r="O25" s="455"/>
      <c r="P25" s="216"/>
      <c r="Q25" s="173"/>
      <c r="R25" s="173" t="s">
        <v>185</v>
      </c>
      <c r="S25" s="37"/>
      <c r="T25" s="415"/>
      <c r="U25" s="475"/>
      <c r="V25" s="476"/>
      <c r="W25" s="459"/>
      <c r="X25" s="459"/>
      <c r="Y25" s="459"/>
      <c r="Z25" s="459"/>
      <c r="AA25" s="459"/>
      <c r="AB25" s="459"/>
      <c r="AC25" s="420">
        <v>2</v>
      </c>
      <c r="AD25" s="459"/>
      <c r="AE25" s="459"/>
      <c r="AF25" s="459"/>
      <c r="AG25" s="459"/>
      <c r="AH25" s="459"/>
      <c r="AI25" s="477" t="s">
        <v>273</v>
      </c>
      <c r="AJ25" s="348" t="s">
        <v>279</v>
      </c>
      <c r="AK25" s="349">
        <f>6%*AL25</f>
        <v>73830</v>
      </c>
      <c r="AL25" s="478">
        <f>1.15*2*535000</f>
        <v>1230500</v>
      </c>
      <c r="AM25" s="479" t="str">
        <f t="shared" si="0"/>
        <v>In Progress | No Missing | APPLIED</v>
      </c>
      <c r="AN25" s="337"/>
    </row>
    <row r="26" spans="1:40" ht="281.25" x14ac:dyDescent="0.25">
      <c r="A26" s="322">
        <v>25</v>
      </c>
      <c r="B26" s="1395" t="s">
        <v>122</v>
      </c>
      <c r="C26" s="1400" t="s">
        <v>113</v>
      </c>
      <c r="D26" s="89" t="s">
        <v>288</v>
      </c>
      <c r="E26" s="89">
        <v>1847</v>
      </c>
      <c r="F26" s="90">
        <v>103074</v>
      </c>
      <c r="G26" s="55" t="s">
        <v>121</v>
      </c>
      <c r="H26" s="91" t="s">
        <v>75</v>
      </c>
      <c r="I26" s="91">
        <v>15</v>
      </c>
      <c r="J26" s="480" t="s">
        <v>142</v>
      </c>
      <c r="K26" s="234" t="s">
        <v>156</v>
      </c>
      <c r="L26" s="481" t="s">
        <v>275</v>
      </c>
      <c r="M26" s="377">
        <v>45981</v>
      </c>
      <c r="N26" s="271" t="s">
        <v>244</v>
      </c>
      <c r="O26" s="482">
        <v>45940</v>
      </c>
      <c r="P26" s="203"/>
      <c r="Q26" s="174" t="s">
        <v>289</v>
      </c>
      <c r="R26" s="174"/>
      <c r="S26" s="92"/>
      <c r="T26" s="379" t="s">
        <v>290</v>
      </c>
      <c r="U26" s="483"/>
      <c r="V26" s="484"/>
      <c r="W26" s="485"/>
      <c r="X26" s="485"/>
      <c r="Y26" s="485"/>
      <c r="Z26" s="485"/>
      <c r="AA26" s="485"/>
      <c r="AB26" s="485"/>
      <c r="AC26" s="485"/>
      <c r="AD26" s="485"/>
      <c r="AE26" s="485"/>
      <c r="AF26" s="384">
        <v>15</v>
      </c>
      <c r="AG26" s="485"/>
      <c r="AH26" s="486"/>
      <c r="AI26" s="385" t="s">
        <v>273</v>
      </c>
      <c r="AJ26" s="386" t="s">
        <v>291</v>
      </c>
      <c r="AK26" s="487">
        <v>0</v>
      </c>
      <c r="AL26" s="488">
        <v>11584300</v>
      </c>
      <c r="AM26" s="489" t="str">
        <f t="shared" si="0"/>
        <v>In Progress | Missing Material | CRITICAL</v>
      </c>
      <c r="AN26" s="337"/>
    </row>
    <row r="27" spans="1:40" ht="37.5" x14ac:dyDescent="0.25">
      <c r="A27" s="322">
        <v>26</v>
      </c>
      <c r="B27" s="1396"/>
      <c r="C27" s="1401"/>
      <c r="D27" s="93">
        <v>6162</v>
      </c>
      <c r="E27" s="93">
        <v>1952</v>
      </c>
      <c r="F27" s="94">
        <v>103088</v>
      </c>
      <c r="G27" s="26" t="s">
        <v>24</v>
      </c>
      <c r="H27" s="95" t="s">
        <v>100</v>
      </c>
      <c r="I27" s="95">
        <v>10</v>
      </c>
      <c r="J27" s="263" t="s">
        <v>142</v>
      </c>
      <c r="K27" s="235" t="s">
        <v>156</v>
      </c>
      <c r="L27" s="490" t="s">
        <v>157</v>
      </c>
      <c r="M27" s="339">
        <v>46018</v>
      </c>
      <c r="N27" s="491" t="s">
        <v>230</v>
      </c>
      <c r="O27" s="492"/>
      <c r="P27" s="204" t="s">
        <v>210</v>
      </c>
      <c r="Q27" s="175"/>
      <c r="R27" s="175" t="s">
        <v>152</v>
      </c>
      <c r="S27" s="96"/>
      <c r="T27" s="341"/>
      <c r="U27" s="493"/>
      <c r="V27" s="494"/>
      <c r="W27" s="495"/>
      <c r="X27" s="495"/>
      <c r="Y27" s="495"/>
      <c r="Z27" s="495"/>
      <c r="AA27" s="495"/>
      <c r="AB27" s="495"/>
      <c r="AC27" s="495"/>
      <c r="AD27" s="495"/>
      <c r="AE27" s="495"/>
      <c r="AF27" s="495"/>
      <c r="AG27" s="495"/>
      <c r="AH27" s="496">
        <v>10</v>
      </c>
      <c r="AI27" s="436" t="s">
        <v>273</v>
      </c>
      <c r="AJ27" s="333" t="s">
        <v>291</v>
      </c>
      <c r="AK27" s="334">
        <v>0</v>
      </c>
      <c r="AL27" s="497">
        <v>6000000</v>
      </c>
      <c r="AM27" s="498" t="str">
        <f t="shared" si="0"/>
        <v>In Progress | No Missing | CRITICAL</v>
      </c>
      <c r="AN27" s="337"/>
    </row>
    <row r="28" spans="1:40" ht="38.25" thickBot="1" x14ac:dyDescent="0.3">
      <c r="A28" s="322">
        <v>27</v>
      </c>
      <c r="B28" s="1396"/>
      <c r="C28" s="1402"/>
      <c r="D28" s="97">
        <v>6775</v>
      </c>
      <c r="E28" s="97">
        <v>1730</v>
      </c>
      <c r="F28" s="98">
        <v>103076</v>
      </c>
      <c r="G28" s="64" t="s">
        <v>118</v>
      </c>
      <c r="H28" s="99" t="s">
        <v>39</v>
      </c>
      <c r="I28" s="99">
        <v>1</v>
      </c>
      <c r="J28" s="263" t="s">
        <v>142</v>
      </c>
      <c r="K28" s="236" t="s">
        <v>274</v>
      </c>
      <c r="L28" s="499" t="s">
        <v>157</v>
      </c>
      <c r="M28" s="500">
        <v>45813</v>
      </c>
      <c r="N28" s="278" t="s">
        <v>241</v>
      </c>
      <c r="O28" s="501"/>
      <c r="P28" s="217"/>
      <c r="Q28" s="176"/>
      <c r="R28" s="176" t="s">
        <v>161</v>
      </c>
      <c r="S28" s="100"/>
      <c r="T28" s="415"/>
      <c r="U28" s="502"/>
      <c r="V28" s="503"/>
      <c r="W28" s="504"/>
      <c r="X28" s="504"/>
      <c r="Y28" s="504"/>
      <c r="Z28" s="504"/>
      <c r="AA28" s="504"/>
      <c r="AB28" s="504"/>
      <c r="AC28" s="504"/>
      <c r="AD28" s="504"/>
      <c r="AE28" s="504"/>
      <c r="AF28" s="504"/>
      <c r="AG28" s="504"/>
      <c r="AH28" s="505"/>
      <c r="AI28" s="474" t="s">
        <v>273</v>
      </c>
      <c r="AJ28" s="348" t="s">
        <v>279</v>
      </c>
      <c r="AK28" s="349">
        <f>6%*AL28</f>
        <v>2305.5</v>
      </c>
      <c r="AL28" s="497">
        <v>38425</v>
      </c>
      <c r="AM28" s="498" t="str">
        <f t="shared" si="0"/>
        <v>Pending | No Missing | APPLIED</v>
      </c>
      <c r="AN28" s="337"/>
    </row>
    <row r="29" spans="1:40" ht="37.5" x14ac:dyDescent="0.25">
      <c r="A29" s="322">
        <v>28</v>
      </c>
      <c r="B29" s="1396"/>
      <c r="C29" s="1400">
        <v>2024</v>
      </c>
      <c r="D29" s="89">
        <v>4906</v>
      </c>
      <c r="E29" s="89">
        <v>1791</v>
      </c>
      <c r="F29" s="90" t="s">
        <v>153</v>
      </c>
      <c r="G29" s="55" t="s">
        <v>32</v>
      </c>
      <c r="H29" s="91" t="s">
        <v>78</v>
      </c>
      <c r="I29" s="91">
        <v>1</v>
      </c>
      <c r="J29" s="480" t="s">
        <v>141</v>
      </c>
      <c r="K29" s="234" t="s">
        <v>156</v>
      </c>
      <c r="L29" s="481" t="s">
        <v>157</v>
      </c>
      <c r="M29" s="301">
        <v>45777</v>
      </c>
      <c r="N29" s="271">
        <v>45948</v>
      </c>
      <c r="O29" s="482"/>
      <c r="P29" s="226" t="s">
        <v>211</v>
      </c>
      <c r="Q29" s="174"/>
      <c r="R29" s="174"/>
      <c r="S29" s="92"/>
      <c r="T29" s="379"/>
      <c r="U29" s="483"/>
      <c r="V29" s="484"/>
      <c r="W29" s="485"/>
      <c r="X29" s="485"/>
      <c r="Y29" s="506"/>
      <c r="Z29" s="485"/>
      <c r="AA29" s="485"/>
      <c r="AB29" s="485"/>
      <c r="AC29" s="485"/>
      <c r="AD29" s="485"/>
      <c r="AE29" s="507">
        <v>1</v>
      </c>
      <c r="AF29" s="485"/>
      <c r="AG29" s="485"/>
      <c r="AH29" s="486"/>
      <c r="AI29" s="508" t="s">
        <v>292</v>
      </c>
      <c r="AJ29" s="386" t="s">
        <v>279</v>
      </c>
      <c r="AK29" s="387">
        <f>6%*AL29</f>
        <v>39174</v>
      </c>
      <c r="AL29" s="488">
        <v>652900</v>
      </c>
      <c r="AM29" s="489" t="str">
        <f t="shared" si="0"/>
        <v>In Progress | No Missing | APPLIED</v>
      </c>
      <c r="AN29" s="337"/>
    </row>
    <row r="30" spans="1:40" ht="37.5" x14ac:dyDescent="0.25">
      <c r="A30" s="322">
        <v>29</v>
      </c>
      <c r="B30" s="1396"/>
      <c r="C30" s="1401"/>
      <c r="D30" s="93">
        <v>5120</v>
      </c>
      <c r="E30" s="93">
        <v>1817</v>
      </c>
      <c r="F30" s="94">
        <v>102768</v>
      </c>
      <c r="G30" s="26" t="s">
        <v>33</v>
      </c>
      <c r="H30" s="95" t="s">
        <v>77</v>
      </c>
      <c r="I30" s="95">
        <v>1</v>
      </c>
      <c r="J30" s="263" t="s">
        <v>151</v>
      </c>
      <c r="K30" s="509" t="s">
        <v>274</v>
      </c>
      <c r="L30" s="490" t="s">
        <v>157</v>
      </c>
      <c r="M30" s="409">
        <v>45600</v>
      </c>
      <c r="N30" s="471" t="s">
        <v>184</v>
      </c>
      <c r="O30" s="492"/>
      <c r="P30" s="204" t="s">
        <v>225</v>
      </c>
      <c r="Q30" s="175"/>
      <c r="R30" s="175" t="s">
        <v>184</v>
      </c>
      <c r="S30" s="96"/>
      <c r="T30" s="341"/>
      <c r="U30" s="409">
        <v>45600</v>
      </c>
      <c r="V30" s="494"/>
      <c r="W30" s="495"/>
      <c r="X30" s="495"/>
      <c r="Y30" s="495"/>
      <c r="Z30" s="495"/>
      <c r="AA30" s="495"/>
      <c r="AB30" s="495"/>
      <c r="AC30" s="392">
        <v>1</v>
      </c>
      <c r="AD30" s="495"/>
      <c r="AE30" s="495"/>
      <c r="AF30" s="495"/>
      <c r="AG30" s="495"/>
      <c r="AH30" s="510"/>
      <c r="AI30" s="511" t="s">
        <v>292</v>
      </c>
      <c r="AJ30" s="348" t="s">
        <v>279</v>
      </c>
      <c r="AK30" s="349">
        <f>6%*AL30</f>
        <v>46500</v>
      </c>
      <c r="AL30" s="497">
        <v>775000</v>
      </c>
      <c r="AM30" s="498" t="str">
        <f t="shared" si="0"/>
        <v>Pending | No Missing | APPLIED</v>
      </c>
      <c r="AN30" s="472" t="s">
        <v>287</v>
      </c>
    </row>
    <row r="31" spans="1:40" ht="75" x14ac:dyDescent="0.25">
      <c r="A31" s="322">
        <v>30</v>
      </c>
      <c r="B31" s="1396"/>
      <c r="C31" s="1401"/>
      <c r="D31" s="512">
        <v>4868</v>
      </c>
      <c r="E31" s="512">
        <v>1772</v>
      </c>
      <c r="F31" s="513" t="s">
        <v>293</v>
      </c>
      <c r="G31" s="26" t="s">
        <v>34</v>
      </c>
      <c r="H31" s="95" t="s">
        <v>76</v>
      </c>
      <c r="I31" s="95">
        <v>1</v>
      </c>
      <c r="J31" s="263" t="s">
        <v>142</v>
      </c>
      <c r="K31" s="509" t="s">
        <v>158</v>
      </c>
      <c r="L31" s="490" t="s">
        <v>157</v>
      </c>
      <c r="M31" s="409">
        <v>45381</v>
      </c>
      <c r="N31" s="218" t="s">
        <v>240</v>
      </c>
      <c r="O31" s="492"/>
      <c r="P31" s="204"/>
      <c r="Q31" s="175"/>
      <c r="R31" s="175"/>
      <c r="S31" s="96"/>
      <c r="T31" s="514" t="s">
        <v>294</v>
      </c>
      <c r="U31" s="409">
        <v>45381</v>
      </c>
      <c r="V31" s="494"/>
      <c r="W31" s="495"/>
      <c r="X31" s="495"/>
      <c r="Y31" s="495"/>
      <c r="Z31" s="467">
        <v>1</v>
      </c>
      <c r="AA31" s="495"/>
      <c r="AB31" s="495"/>
      <c r="AC31" s="495"/>
      <c r="AD31" s="495"/>
      <c r="AE31" s="495"/>
      <c r="AF31" s="495"/>
      <c r="AG31" s="495"/>
      <c r="AH31" s="510"/>
      <c r="AI31" s="511" t="s">
        <v>292</v>
      </c>
      <c r="AJ31" s="348" t="s">
        <v>279</v>
      </c>
      <c r="AK31" s="349">
        <f>6%*AL31</f>
        <v>33300</v>
      </c>
      <c r="AL31" s="497">
        <v>555000</v>
      </c>
      <c r="AM31" s="498" t="str">
        <f t="shared" si="0"/>
        <v>Completed | Missing Material | APPLIED</v>
      </c>
      <c r="AN31" s="337"/>
    </row>
    <row r="32" spans="1:40" ht="75" x14ac:dyDescent="0.25">
      <c r="A32" s="322">
        <v>31</v>
      </c>
      <c r="B32" s="1396"/>
      <c r="C32" s="1401"/>
      <c r="D32" s="93" t="s">
        <v>188</v>
      </c>
      <c r="E32" s="93"/>
      <c r="F32" s="94">
        <v>102960</v>
      </c>
      <c r="G32" s="26" t="s">
        <v>83</v>
      </c>
      <c r="H32" s="95" t="s">
        <v>84</v>
      </c>
      <c r="I32" s="95">
        <v>1</v>
      </c>
      <c r="J32" s="263" t="s">
        <v>142</v>
      </c>
      <c r="K32" s="85" t="s">
        <v>274</v>
      </c>
      <c r="L32" s="490" t="s">
        <v>271</v>
      </c>
      <c r="M32" s="409">
        <v>45608</v>
      </c>
      <c r="N32" s="218">
        <v>45940</v>
      </c>
      <c r="O32" s="492">
        <v>45940</v>
      </c>
      <c r="P32" s="218"/>
      <c r="Q32" s="177"/>
      <c r="R32" s="177" t="s">
        <v>166</v>
      </c>
      <c r="S32" s="38"/>
      <c r="T32" s="515" t="s">
        <v>295</v>
      </c>
      <c r="U32" s="409">
        <v>45608</v>
      </c>
      <c r="V32" s="494"/>
      <c r="W32" s="495"/>
      <c r="X32" s="495"/>
      <c r="Y32" s="495"/>
      <c r="Z32" s="495"/>
      <c r="AA32" s="495"/>
      <c r="AB32" s="495"/>
      <c r="AC32" s="495"/>
      <c r="AD32" s="495"/>
      <c r="AE32" s="392" t="s">
        <v>296</v>
      </c>
      <c r="AF32" s="495"/>
      <c r="AG32" s="495"/>
      <c r="AH32" s="510"/>
      <c r="AI32" s="511" t="s">
        <v>297</v>
      </c>
      <c r="AJ32" s="348" t="s">
        <v>279</v>
      </c>
      <c r="AK32" s="349" t="s">
        <v>297</v>
      </c>
      <c r="AL32" s="497">
        <v>513250</v>
      </c>
      <c r="AM32" s="498" t="str">
        <f t="shared" si="0"/>
        <v>Pending | Missing Material | APPLIED</v>
      </c>
      <c r="AN32" s="337"/>
    </row>
    <row r="33" spans="1:40" ht="37.5" x14ac:dyDescent="0.25">
      <c r="A33" s="322">
        <v>32</v>
      </c>
      <c r="B33" s="1396"/>
      <c r="C33" s="1401"/>
      <c r="D33" s="93" t="s">
        <v>149</v>
      </c>
      <c r="E33" s="93"/>
      <c r="F33" s="94">
        <v>102935</v>
      </c>
      <c r="G33" s="26" t="s">
        <v>128</v>
      </c>
      <c r="H33" s="95" t="s">
        <v>84</v>
      </c>
      <c r="I33" s="95">
        <v>2</v>
      </c>
      <c r="J33" s="263" t="s">
        <v>142</v>
      </c>
      <c r="K33" s="509" t="s">
        <v>158</v>
      </c>
      <c r="L33" s="490" t="s">
        <v>271</v>
      </c>
      <c r="M33" s="339">
        <v>45938</v>
      </c>
      <c r="N33" s="491">
        <v>45843</v>
      </c>
      <c r="O33" s="492"/>
      <c r="P33" s="218"/>
      <c r="Q33" s="516"/>
      <c r="R33" s="516" t="s">
        <v>159</v>
      </c>
      <c r="S33" s="38"/>
      <c r="T33" s="515"/>
      <c r="U33" s="493"/>
      <c r="V33" s="494"/>
      <c r="W33" s="495"/>
      <c r="X33" s="495"/>
      <c r="Y33" s="495"/>
      <c r="Z33" s="495"/>
      <c r="AA33" s="495"/>
      <c r="AB33" s="467" t="s">
        <v>296</v>
      </c>
      <c r="AC33" s="495"/>
      <c r="AD33" s="495"/>
      <c r="AE33" s="495"/>
      <c r="AF33" s="495"/>
      <c r="AG33" s="495"/>
      <c r="AH33" s="510"/>
      <c r="AI33" s="511" t="s">
        <v>292</v>
      </c>
      <c r="AJ33" s="517" t="s">
        <v>269</v>
      </c>
      <c r="AK33" s="518">
        <v>0</v>
      </c>
      <c r="AL33" s="497">
        <v>156000</v>
      </c>
      <c r="AM33" s="498" t="str">
        <f t="shared" si="0"/>
        <v>Completed | No Missing | SAFE</v>
      </c>
      <c r="AN33" s="337"/>
    </row>
    <row r="34" spans="1:40" ht="37.5" x14ac:dyDescent="0.25">
      <c r="A34" s="322">
        <v>33</v>
      </c>
      <c r="B34" s="1396"/>
      <c r="C34" s="1401"/>
      <c r="D34" s="93" t="s">
        <v>149</v>
      </c>
      <c r="E34" s="93"/>
      <c r="F34" s="94">
        <v>102957</v>
      </c>
      <c r="G34" s="26" t="s">
        <v>85</v>
      </c>
      <c r="H34" s="95" t="s">
        <v>84</v>
      </c>
      <c r="I34" s="95">
        <v>1</v>
      </c>
      <c r="J34" s="263" t="s">
        <v>142</v>
      </c>
      <c r="K34" s="509" t="s">
        <v>158</v>
      </c>
      <c r="L34" s="490" t="s">
        <v>271</v>
      </c>
      <c r="M34" s="339">
        <v>45604</v>
      </c>
      <c r="N34" s="491" t="s">
        <v>236</v>
      </c>
      <c r="O34" s="492"/>
      <c r="P34" s="218"/>
      <c r="Q34" s="516"/>
      <c r="R34" s="516" t="s">
        <v>159</v>
      </c>
      <c r="S34" s="38"/>
      <c r="T34" s="515"/>
      <c r="U34" s="493"/>
      <c r="V34" s="494"/>
      <c r="W34" s="495"/>
      <c r="X34" s="495"/>
      <c r="Y34" s="495"/>
      <c r="Z34" s="495"/>
      <c r="AA34" s="495"/>
      <c r="AB34" s="467" t="s">
        <v>298</v>
      </c>
      <c r="AC34" s="495"/>
      <c r="AD34" s="495"/>
      <c r="AE34" s="495"/>
      <c r="AF34" s="495"/>
      <c r="AG34" s="495"/>
      <c r="AH34" s="510"/>
      <c r="AI34" s="511" t="s">
        <v>292</v>
      </c>
      <c r="AJ34" s="519" t="s">
        <v>269</v>
      </c>
      <c r="AK34" s="518">
        <v>0</v>
      </c>
      <c r="AL34" s="497">
        <v>91050</v>
      </c>
      <c r="AM34" s="498" t="str">
        <f t="shared" si="0"/>
        <v>Completed | No Missing | SAFE</v>
      </c>
      <c r="AN34" s="337"/>
    </row>
    <row r="35" spans="1:40" ht="37.5" x14ac:dyDescent="0.25">
      <c r="A35" s="322">
        <v>34</v>
      </c>
      <c r="B35" s="1396"/>
      <c r="C35" s="1401"/>
      <c r="D35" s="93" t="s">
        <v>189</v>
      </c>
      <c r="E35" s="93"/>
      <c r="F35" s="94">
        <v>102934</v>
      </c>
      <c r="G35" s="26" t="s">
        <v>86</v>
      </c>
      <c r="H35" s="95" t="s">
        <v>84</v>
      </c>
      <c r="I35" s="95">
        <v>1</v>
      </c>
      <c r="J35" s="263" t="s">
        <v>142</v>
      </c>
      <c r="K35" s="85" t="s">
        <v>274</v>
      </c>
      <c r="L35" s="490" t="s">
        <v>271</v>
      </c>
      <c r="M35" s="339">
        <v>45891</v>
      </c>
      <c r="N35" s="491">
        <v>45910</v>
      </c>
      <c r="O35" s="492">
        <v>45910</v>
      </c>
      <c r="P35" s="218"/>
      <c r="Q35" s="177"/>
      <c r="R35" s="177" t="s">
        <v>160</v>
      </c>
      <c r="S35" s="38"/>
      <c r="T35" s="520" t="s">
        <v>195</v>
      </c>
      <c r="U35" s="493"/>
      <c r="V35" s="494"/>
      <c r="W35" s="495"/>
      <c r="X35" s="495"/>
      <c r="Y35" s="495"/>
      <c r="Z35" s="495"/>
      <c r="AA35" s="495"/>
      <c r="AB35" s="495"/>
      <c r="AC35" s="405"/>
      <c r="AD35" s="392" t="s">
        <v>296</v>
      </c>
      <c r="AE35" s="495"/>
      <c r="AF35" s="495"/>
      <c r="AG35" s="495"/>
      <c r="AH35" s="510"/>
      <c r="AI35" s="511" t="s">
        <v>297</v>
      </c>
      <c r="AJ35" s="348" t="s">
        <v>279</v>
      </c>
      <c r="AK35" s="349" t="s">
        <v>297</v>
      </c>
      <c r="AL35" s="497">
        <v>25500</v>
      </c>
      <c r="AM35" s="498" t="str">
        <f t="shared" si="0"/>
        <v>Pending | Missing Material | APPLIED</v>
      </c>
      <c r="AN35" s="337"/>
    </row>
    <row r="36" spans="1:40" ht="112.5" x14ac:dyDescent="0.25">
      <c r="A36" s="322">
        <v>35</v>
      </c>
      <c r="B36" s="1396"/>
      <c r="C36" s="1401"/>
      <c r="D36" s="93" t="s">
        <v>190</v>
      </c>
      <c r="E36" s="93"/>
      <c r="F36" s="94">
        <v>102933</v>
      </c>
      <c r="G36" s="26" t="s">
        <v>87</v>
      </c>
      <c r="H36" s="95" t="s">
        <v>84</v>
      </c>
      <c r="I36" s="95">
        <v>1</v>
      </c>
      <c r="J36" s="263" t="s">
        <v>142</v>
      </c>
      <c r="K36" s="509" t="s">
        <v>158</v>
      </c>
      <c r="L36" s="490" t="s">
        <v>271</v>
      </c>
      <c r="M36" s="409">
        <v>45711</v>
      </c>
      <c r="N36" s="491">
        <v>45910</v>
      </c>
      <c r="O36" s="492">
        <v>45910</v>
      </c>
      <c r="P36" s="218"/>
      <c r="Q36" s="177"/>
      <c r="R36" s="177" t="s">
        <v>167</v>
      </c>
      <c r="S36" s="38"/>
      <c r="T36" s="520" t="s">
        <v>196</v>
      </c>
      <c r="U36" s="493"/>
      <c r="V36" s="494"/>
      <c r="W36" s="495"/>
      <c r="X36" s="495"/>
      <c r="Y36" s="495"/>
      <c r="Z36" s="495"/>
      <c r="AA36" s="495"/>
      <c r="AB36" s="495"/>
      <c r="AC36" s="495"/>
      <c r="AD36" s="495"/>
      <c r="AE36" s="495"/>
      <c r="AF36" s="495"/>
      <c r="AG36" s="495"/>
      <c r="AH36" s="510"/>
      <c r="AI36" s="511" t="s">
        <v>292</v>
      </c>
      <c r="AJ36" s="348" t="s">
        <v>269</v>
      </c>
      <c r="AK36" s="349">
        <v>0</v>
      </c>
      <c r="AL36" s="497">
        <v>17000</v>
      </c>
      <c r="AM36" s="498" t="str">
        <f t="shared" si="0"/>
        <v>Completed | Missing Material | SAFE</v>
      </c>
      <c r="AN36" s="337"/>
    </row>
    <row r="37" spans="1:40" ht="112.5" x14ac:dyDescent="0.25">
      <c r="A37" s="322">
        <v>36</v>
      </c>
      <c r="B37" s="1396"/>
      <c r="C37" s="1401"/>
      <c r="D37" s="93" t="s">
        <v>188</v>
      </c>
      <c r="E37" s="93"/>
      <c r="F37" s="94">
        <v>102958</v>
      </c>
      <c r="G37" s="26" t="s">
        <v>88</v>
      </c>
      <c r="H37" s="95" t="s">
        <v>84</v>
      </c>
      <c r="I37" s="95">
        <v>1</v>
      </c>
      <c r="J37" s="263" t="s">
        <v>142</v>
      </c>
      <c r="K37" s="85" t="s">
        <v>274</v>
      </c>
      <c r="L37" s="490" t="s">
        <v>271</v>
      </c>
      <c r="M37" s="409">
        <v>45778</v>
      </c>
      <c r="N37" s="491">
        <v>45940</v>
      </c>
      <c r="O37" s="492">
        <v>45940</v>
      </c>
      <c r="P37" s="218"/>
      <c r="Q37" s="177"/>
      <c r="R37" s="177" t="s">
        <v>168</v>
      </c>
      <c r="S37" s="38"/>
      <c r="T37" s="520" t="s">
        <v>197</v>
      </c>
      <c r="U37" s="493"/>
      <c r="V37" s="494"/>
      <c r="W37" s="495"/>
      <c r="X37" s="495"/>
      <c r="Y37" s="495"/>
      <c r="Z37" s="405"/>
      <c r="AA37" s="495"/>
      <c r="AB37" s="495"/>
      <c r="AC37" s="495"/>
      <c r="AD37" s="495"/>
      <c r="AE37" s="392" t="s">
        <v>296</v>
      </c>
      <c r="AF37" s="495"/>
      <c r="AG37" s="495"/>
      <c r="AH37" s="510"/>
      <c r="AI37" s="511" t="s">
        <v>297</v>
      </c>
      <c r="AJ37" s="348" t="s">
        <v>279</v>
      </c>
      <c r="AK37" s="349" t="s">
        <v>297</v>
      </c>
      <c r="AL37" s="497">
        <v>163750</v>
      </c>
      <c r="AM37" s="498" t="str">
        <f t="shared" si="0"/>
        <v>Pending | Missing Material | APPLIED</v>
      </c>
      <c r="AN37" s="337"/>
    </row>
    <row r="38" spans="1:40" ht="38.25" thickBot="1" x14ac:dyDescent="0.3">
      <c r="A38" s="322">
        <v>37</v>
      </c>
      <c r="B38" s="1397"/>
      <c r="C38" s="1402"/>
      <c r="D38" s="97" t="s">
        <v>149</v>
      </c>
      <c r="E38" s="97"/>
      <c r="F38" s="98">
        <v>102957</v>
      </c>
      <c r="G38" s="64" t="s">
        <v>88</v>
      </c>
      <c r="H38" s="99" t="s">
        <v>84</v>
      </c>
      <c r="I38" s="99">
        <v>1</v>
      </c>
      <c r="J38" s="521" t="s">
        <v>142</v>
      </c>
      <c r="K38" s="236" t="s">
        <v>158</v>
      </c>
      <c r="L38" s="499" t="s">
        <v>271</v>
      </c>
      <c r="M38" s="522">
        <v>45695</v>
      </c>
      <c r="N38" s="523">
        <v>45843</v>
      </c>
      <c r="O38" s="524"/>
      <c r="P38" s="525"/>
      <c r="Q38" s="526"/>
      <c r="R38" s="526" t="s">
        <v>159</v>
      </c>
      <c r="S38" s="527"/>
      <c r="T38" s="528"/>
      <c r="U38" s="502"/>
      <c r="V38" s="503"/>
      <c r="W38" s="504"/>
      <c r="X38" s="504"/>
      <c r="Y38" s="504"/>
      <c r="Z38" s="504"/>
      <c r="AA38" s="504"/>
      <c r="AB38" s="420" t="s">
        <v>296</v>
      </c>
      <c r="AC38" s="504"/>
      <c r="AD38" s="504"/>
      <c r="AE38" s="504"/>
      <c r="AF38" s="504"/>
      <c r="AG38" s="504"/>
      <c r="AH38" s="505"/>
      <c r="AI38" s="511" t="s">
        <v>297</v>
      </c>
      <c r="AJ38" s="348" t="s">
        <v>279</v>
      </c>
      <c r="AK38" s="349" t="s">
        <v>297</v>
      </c>
      <c r="AL38" s="529">
        <v>92800</v>
      </c>
      <c r="AM38" s="530" t="str">
        <f t="shared" si="0"/>
        <v>Completed | No Missing | APPLIED</v>
      </c>
      <c r="AN38" s="337"/>
    </row>
    <row r="39" spans="1:40" ht="56.25" x14ac:dyDescent="0.25">
      <c r="A39" s="322">
        <v>38</v>
      </c>
      <c r="B39" s="1335" t="s">
        <v>50</v>
      </c>
      <c r="C39" s="1327" t="s">
        <v>113</v>
      </c>
      <c r="D39" s="101" t="s">
        <v>188</v>
      </c>
      <c r="E39" s="101"/>
      <c r="F39" s="102">
        <v>103077</v>
      </c>
      <c r="G39" s="27" t="s">
        <v>119</v>
      </c>
      <c r="H39" s="2" t="s">
        <v>39</v>
      </c>
      <c r="I39" s="2">
        <v>1</v>
      </c>
      <c r="J39" s="531" t="s">
        <v>142</v>
      </c>
      <c r="K39" s="82" t="s">
        <v>274</v>
      </c>
      <c r="L39" s="532" t="s">
        <v>271</v>
      </c>
      <c r="M39" s="301">
        <v>45774</v>
      </c>
      <c r="N39" s="219">
        <v>45931</v>
      </c>
      <c r="O39" s="533"/>
      <c r="P39" s="219"/>
      <c r="Q39" s="178"/>
      <c r="R39" s="178" t="s">
        <v>166</v>
      </c>
      <c r="S39" s="39"/>
      <c r="T39" s="534" t="s">
        <v>198</v>
      </c>
      <c r="U39" s="535"/>
      <c r="V39" s="535"/>
      <c r="W39" s="384"/>
      <c r="X39" s="384"/>
      <c r="Y39" s="506"/>
      <c r="Z39" s="384"/>
      <c r="AA39" s="384"/>
      <c r="AB39" s="384"/>
      <c r="AC39" s="384"/>
      <c r="AD39" s="384"/>
      <c r="AE39" s="392" t="s">
        <v>296</v>
      </c>
      <c r="AF39" s="384"/>
      <c r="AG39" s="384"/>
      <c r="AH39" s="384"/>
      <c r="AI39" s="508" t="s">
        <v>297</v>
      </c>
      <c r="AJ39" s="386" t="s">
        <v>279</v>
      </c>
      <c r="AK39" s="387" t="s">
        <v>297</v>
      </c>
      <c r="AL39" s="536">
        <v>650500</v>
      </c>
      <c r="AM39" s="537" t="str">
        <f t="shared" si="0"/>
        <v>Pending | Missing Material | APPLIED</v>
      </c>
      <c r="AN39" s="337"/>
    </row>
    <row r="40" spans="1:40" ht="113.25" thickBot="1" x14ac:dyDescent="0.3">
      <c r="A40" s="322">
        <v>39</v>
      </c>
      <c r="B40" s="1336"/>
      <c r="C40" s="1328"/>
      <c r="D40" s="104" t="s">
        <v>191</v>
      </c>
      <c r="E40" s="104"/>
      <c r="F40" s="105">
        <v>103111</v>
      </c>
      <c r="G40" s="28" t="s">
        <v>24</v>
      </c>
      <c r="H40" s="4" t="s">
        <v>39</v>
      </c>
      <c r="I40" s="4">
        <v>1</v>
      </c>
      <c r="J40" s="538" t="s">
        <v>142</v>
      </c>
      <c r="K40" s="88" t="s">
        <v>274</v>
      </c>
      <c r="L40" s="539" t="s">
        <v>271</v>
      </c>
      <c r="M40" s="540">
        <v>45852</v>
      </c>
      <c r="N40" s="220">
        <v>45992</v>
      </c>
      <c r="O40" s="541"/>
      <c r="P40" s="220"/>
      <c r="Q40" s="179"/>
      <c r="R40" s="179" t="s">
        <v>174</v>
      </c>
      <c r="S40" s="63"/>
      <c r="T40" s="542" t="s">
        <v>194</v>
      </c>
      <c r="U40" s="543"/>
      <c r="V40" s="543"/>
      <c r="W40" s="544"/>
      <c r="X40" s="544"/>
      <c r="Y40" s="544"/>
      <c r="Z40" s="544"/>
      <c r="AA40" s="544"/>
      <c r="AB40" s="418"/>
      <c r="AC40" s="544"/>
      <c r="AD40" s="544"/>
      <c r="AE40" s="544"/>
      <c r="AF40" s="544"/>
      <c r="AG40" s="392" t="s">
        <v>296</v>
      </c>
      <c r="AH40" s="544"/>
      <c r="AI40" s="545" t="s">
        <v>297</v>
      </c>
      <c r="AJ40" s="461" t="s">
        <v>279</v>
      </c>
      <c r="AK40" s="462" t="s">
        <v>297</v>
      </c>
      <c r="AL40" s="546">
        <v>963500</v>
      </c>
      <c r="AM40" s="547" t="str">
        <f t="shared" si="0"/>
        <v>Pending | Missing Material | APPLIED</v>
      </c>
      <c r="AN40" s="337"/>
    </row>
    <row r="41" spans="1:40" ht="93.75" x14ac:dyDescent="0.25">
      <c r="A41" s="322">
        <v>40</v>
      </c>
      <c r="B41" s="1336"/>
      <c r="C41" s="1327">
        <v>2024</v>
      </c>
      <c r="D41" s="101">
        <v>4951</v>
      </c>
      <c r="E41" s="101">
        <v>1792</v>
      </c>
      <c r="F41" s="102">
        <v>102729</v>
      </c>
      <c r="G41" s="27" t="s">
        <v>35</v>
      </c>
      <c r="H41" s="2" t="s">
        <v>75</v>
      </c>
      <c r="I41" s="2">
        <v>11</v>
      </c>
      <c r="J41" s="531" t="s">
        <v>142</v>
      </c>
      <c r="K41" s="103" t="s">
        <v>156</v>
      </c>
      <c r="L41" s="532" t="s">
        <v>157</v>
      </c>
      <c r="M41" s="301">
        <v>45813</v>
      </c>
      <c r="N41" s="548">
        <v>45870</v>
      </c>
      <c r="O41" s="533">
        <v>45910</v>
      </c>
      <c r="P41" s="206" t="s">
        <v>212</v>
      </c>
      <c r="Q41" s="180"/>
      <c r="R41" s="180"/>
      <c r="S41" s="107"/>
      <c r="T41" s="379" t="s">
        <v>299</v>
      </c>
      <c r="U41" s="535"/>
      <c r="V41" s="535"/>
      <c r="W41" s="384"/>
      <c r="X41" s="384"/>
      <c r="Y41" s="384"/>
      <c r="Z41" s="384"/>
      <c r="AA41" s="506"/>
      <c r="AB41" s="384"/>
      <c r="AC41" s="507">
        <v>11</v>
      </c>
      <c r="AD41" s="384"/>
      <c r="AE41" s="384"/>
      <c r="AF41" s="384"/>
      <c r="AG41" s="384"/>
      <c r="AH41" s="384"/>
      <c r="AI41" s="508" t="s">
        <v>292</v>
      </c>
      <c r="AJ41" s="386" t="s">
        <v>279</v>
      </c>
      <c r="AK41" s="387">
        <f>6%*AL41</f>
        <v>448800</v>
      </c>
      <c r="AL41" s="536">
        <v>7480000</v>
      </c>
      <c r="AM41" s="537" t="str">
        <f t="shared" si="0"/>
        <v>In Progress | Missing Material | APPLIED</v>
      </c>
      <c r="AN41" s="337"/>
    </row>
    <row r="42" spans="1:40" ht="338.25" thickBot="1" x14ac:dyDescent="0.3">
      <c r="A42" s="322">
        <v>41</v>
      </c>
      <c r="B42" s="1337"/>
      <c r="C42" s="1328"/>
      <c r="D42" s="104">
        <v>5829</v>
      </c>
      <c r="E42" s="104">
        <v>1910</v>
      </c>
      <c r="F42" s="105">
        <v>102978</v>
      </c>
      <c r="G42" s="28" t="s">
        <v>23</v>
      </c>
      <c r="H42" s="4" t="s">
        <v>75</v>
      </c>
      <c r="I42" s="4">
        <v>9</v>
      </c>
      <c r="J42" s="549" t="s">
        <v>141</v>
      </c>
      <c r="K42" s="106" t="s">
        <v>156</v>
      </c>
      <c r="L42" s="539" t="s">
        <v>247</v>
      </c>
      <c r="M42" s="454">
        <v>46007</v>
      </c>
      <c r="N42" s="275" t="s">
        <v>245</v>
      </c>
      <c r="O42" s="541">
        <v>45940</v>
      </c>
      <c r="P42" s="205" t="s">
        <v>213</v>
      </c>
      <c r="Q42" s="181" t="s">
        <v>300</v>
      </c>
      <c r="R42" s="181"/>
      <c r="S42" s="108" t="s">
        <v>301</v>
      </c>
      <c r="T42" s="415" t="s">
        <v>302</v>
      </c>
      <c r="U42" s="543"/>
      <c r="V42" s="543"/>
      <c r="W42" s="544"/>
      <c r="X42" s="544"/>
      <c r="Y42" s="544"/>
      <c r="Z42" s="544"/>
      <c r="AA42" s="544"/>
      <c r="AB42" s="544"/>
      <c r="AC42" s="544"/>
      <c r="AD42" s="544"/>
      <c r="AE42" s="544"/>
      <c r="AF42" s="550"/>
      <c r="AG42" s="544">
        <v>9</v>
      </c>
      <c r="AH42" s="544"/>
      <c r="AI42" s="545" t="s">
        <v>303</v>
      </c>
      <c r="AJ42" s="461" t="s">
        <v>291</v>
      </c>
      <c r="AK42" s="462"/>
      <c r="AL42" s="551">
        <v>8997750</v>
      </c>
      <c r="AM42" s="552" t="str">
        <f t="shared" si="0"/>
        <v>In Progress | Missing Material | CRITICAL</v>
      </c>
      <c r="AN42" s="337"/>
    </row>
    <row r="43" spans="1:40" ht="18.75" x14ac:dyDescent="0.25">
      <c r="A43" s="322">
        <v>42</v>
      </c>
      <c r="B43" s="1329" t="s">
        <v>49</v>
      </c>
      <c r="C43" s="1331">
        <v>2024</v>
      </c>
      <c r="D43" s="1333">
        <v>5185</v>
      </c>
      <c r="E43" s="109">
        <v>1814</v>
      </c>
      <c r="F43" s="1319">
        <v>102792</v>
      </c>
      <c r="G43" s="1321" t="s">
        <v>36</v>
      </c>
      <c r="H43" s="110" t="s">
        <v>74</v>
      </c>
      <c r="I43" s="110">
        <v>5</v>
      </c>
      <c r="J43" s="1323" t="s">
        <v>142</v>
      </c>
      <c r="K43" s="111" t="s">
        <v>156</v>
      </c>
      <c r="L43" s="553" t="s">
        <v>157</v>
      </c>
      <c r="M43" s="1325">
        <v>46197</v>
      </c>
      <c r="N43" s="554">
        <v>45901</v>
      </c>
      <c r="O43" s="555"/>
      <c r="P43" s="110" t="s">
        <v>214</v>
      </c>
      <c r="Q43" s="182"/>
      <c r="R43" s="182"/>
      <c r="S43" s="112"/>
      <c r="T43" s="556"/>
      <c r="U43" s="557"/>
      <c r="V43" s="557"/>
      <c r="W43" s="558"/>
      <c r="X43" s="558"/>
      <c r="Y43" s="558"/>
      <c r="Z43" s="558"/>
      <c r="AA43" s="558"/>
      <c r="AB43" s="558"/>
      <c r="AC43" s="558"/>
      <c r="AD43" s="384">
        <v>5</v>
      </c>
      <c r="AE43" s="558"/>
      <c r="AF43" s="558"/>
      <c r="AG43" s="558"/>
      <c r="AH43" s="559"/>
      <c r="AI43" s="1309" t="s">
        <v>304</v>
      </c>
      <c r="AJ43" s="1311" t="s">
        <v>269</v>
      </c>
      <c r="AK43" s="560">
        <v>0</v>
      </c>
      <c r="AL43" s="561">
        <f>1.15*1770000*5</f>
        <v>10177499.999999998</v>
      </c>
      <c r="AM43" s="562" t="str">
        <f t="shared" si="0"/>
        <v>In Progress | No Missing | SAFE</v>
      </c>
      <c r="AN43" s="337"/>
    </row>
    <row r="44" spans="1:40" ht="94.5" thickBot="1" x14ac:dyDescent="0.3">
      <c r="A44" s="322">
        <v>43</v>
      </c>
      <c r="B44" s="1330"/>
      <c r="C44" s="1332"/>
      <c r="D44" s="1334"/>
      <c r="E44" s="113">
        <v>1815</v>
      </c>
      <c r="F44" s="1320"/>
      <c r="G44" s="1322"/>
      <c r="H44" s="114" t="s">
        <v>73</v>
      </c>
      <c r="I44" s="114">
        <v>3</v>
      </c>
      <c r="J44" s="1324"/>
      <c r="K44" s="115" t="s">
        <v>156</v>
      </c>
      <c r="L44" s="563" t="s">
        <v>157</v>
      </c>
      <c r="M44" s="1326"/>
      <c r="N44" s="564">
        <v>46197</v>
      </c>
      <c r="O44" s="565"/>
      <c r="P44" s="114" t="s">
        <v>215</v>
      </c>
      <c r="Q44" s="183"/>
      <c r="R44" s="183"/>
      <c r="S44" s="116"/>
      <c r="T44" s="566"/>
      <c r="U44" s="567"/>
      <c r="V44" s="567"/>
      <c r="W44" s="568"/>
      <c r="X44" s="568"/>
      <c r="Y44" s="568"/>
      <c r="Z44" s="568"/>
      <c r="AA44" s="568"/>
      <c r="AB44" s="568"/>
      <c r="AC44" s="568"/>
      <c r="AD44" s="568"/>
      <c r="AE44" s="568"/>
      <c r="AF44" s="568"/>
      <c r="AG44" s="568"/>
      <c r="AH44" s="569">
        <v>3</v>
      </c>
      <c r="AI44" s="1310"/>
      <c r="AJ44" s="1312"/>
      <c r="AK44" s="570">
        <v>0</v>
      </c>
      <c r="AL44" s="571">
        <f>1.15*744000*3</f>
        <v>2566799.9999999995</v>
      </c>
      <c r="AM44" s="572" t="str">
        <f t="shared" si="0"/>
        <v xml:space="preserve">In Progress | No Missing | </v>
      </c>
      <c r="AN44" s="337"/>
    </row>
    <row r="45" spans="1:40" ht="150.75" thickBot="1" x14ac:dyDescent="0.3">
      <c r="A45" s="322">
        <v>44</v>
      </c>
      <c r="B45" s="573" t="s">
        <v>111</v>
      </c>
      <c r="C45" s="574" t="s">
        <v>113</v>
      </c>
      <c r="D45" s="117">
        <v>6052</v>
      </c>
      <c r="E45" s="117">
        <v>1938</v>
      </c>
      <c r="F45" s="118">
        <v>103055</v>
      </c>
      <c r="G45" s="119" t="s">
        <v>116</v>
      </c>
      <c r="H45" s="120" t="s">
        <v>117</v>
      </c>
      <c r="I45" s="120">
        <v>20</v>
      </c>
      <c r="J45" s="264" t="s">
        <v>151</v>
      </c>
      <c r="K45" s="121" t="s">
        <v>156</v>
      </c>
      <c r="L45" s="575" t="s">
        <v>247</v>
      </c>
      <c r="M45" s="576" t="s">
        <v>129</v>
      </c>
      <c r="N45" s="577" t="s">
        <v>243</v>
      </c>
      <c r="O45" s="578"/>
      <c r="P45" s="207" t="s">
        <v>224</v>
      </c>
      <c r="Q45" s="184" t="s">
        <v>305</v>
      </c>
      <c r="R45" s="184" t="s">
        <v>169</v>
      </c>
      <c r="S45" s="40"/>
      <c r="T45" s="579"/>
      <c r="U45" s="580" t="s">
        <v>129</v>
      </c>
      <c r="V45" s="581"/>
      <c r="W45" s="582"/>
      <c r="X45" s="582"/>
      <c r="Y45" s="582"/>
      <c r="Z45" s="582"/>
      <c r="AA45" s="582"/>
      <c r="AB45" s="583">
        <v>1</v>
      </c>
      <c r="AC45" s="583">
        <v>2</v>
      </c>
      <c r="AD45" s="583">
        <v>5</v>
      </c>
      <c r="AE45" s="583">
        <v>12</v>
      </c>
      <c r="AF45" s="582"/>
      <c r="AG45" s="582"/>
      <c r="AH45" s="582"/>
      <c r="AI45" s="584" t="s">
        <v>306</v>
      </c>
      <c r="AJ45" s="585" t="s">
        <v>291</v>
      </c>
      <c r="AK45" s="586">
        <v>0</v>
      </c>
      <c r="AL45" s="587">
        <v>9700000</v>
      </c>
      <c r="AM45" s="588" t="str">
        <f t="shared" si="0"/>
        <v>In Progress | No Missing | CRITICAL</v>
      </c>
      <c r="AN45" s="337"/>
    </row>
    <row r="46" spans="1:40" ht="37.5" x14ac:dyDescent="0.25">
      <c r="A46" s="322">
        <v>45</v>
      </c>
      <c r="B46" s="1313" t="s">
        <v>62</v>
      </c>
      <c r="C46" s="1316" t="s">
        <v>113</v>
      </c>
      <c r="D46" s="122">
        <v>6238</v>
      </c>
      <c r="E46" s="122"/>
      <c r="F46" s="123">
        <v>103060</v>
      </c>
      <c r="G46" s="124" t="s">
        <v>120</v>
      </c>
      <c r="H46" s="7" t="s">
        <v>75</v>
      </c>
      <c r="I46" s="7">
        <v>2</v>
      </c>
      <c r="J46" s="265" t="s">
        <v>141</v>
      </c>
      <c r="K46" s="125" t="s">
        <v>156</v>
      </c>
      <c r="L46" s="300" t="s">
        <v>157</v>
      </c>
      <c r="M46" s="377">
        <v>45960</v>
      </c>
      <c r="N46" s="272">
        <v>45931</v>
      </c>
      <c r="O46" s="589"/>
      <c r="P46" s="185" t="s">
        <v>216</v>
      </c>
      <c r="Q46" s="185"/>
      <c r="R46" s="185"/>
      <c r="S46" s="126"/>
      <c r="T46" s="556"/>
      <c r="U46" s="590"/>
      <c r="V46" s="590"/>
      <c r="W46" s="591"/>
      <c r="X46" s="591"/>
      <c r="Y46" s="591"/>
      <c r="Z46" s="591"/>
      <c r="AA46" s="591"/>
      <c r="AB46" s="591"/>
      <c r="AC46" s="591"/>
      <c r="AD46" s="591"/>
      <c r="AE46" s="591">
        <v>2</v>
      </c>
      <c r="AF46" s="591"/>
      <c r="AG46" s="591"/>
      <c r="AH46" s="592"/>
      <c r="AI46" s="593" t="s">
        <v>292</v>
      </c>
      <c r="AJ46" s="386" t="s">
        <v>291</v>
      </c>
      <c r="AK46" s="594">
        <v>0</v>
      </c>
      <c r="AL46" s="595">
        <v>1087000</v>
      </c>
      <c r="AM46" s="596" t="str">
        <f t="shared" si="0"/>
        <v>In Progress | No Missing | CRITICAL</v>
      </c>
      <c r="AN46" s="472" t="s">
        <v>287</v>
      </c>
    </row>
    <row r="47" spans="1:40" ht="38.25" thickBot="1" x14ac:dyDescent="0.3">
      <c r="A47" s="322">
        <v>46</v>
      </c>
      <c r="B47" s="1314"/>
      <c r="C47" s="1317"/>
      <c r="D47" s="597" t="s">
        <v>188</v>
      </c>
      <c r="E47" s="127">
        <v>1664</v>
      </c>
      <c r="F47" s="128">
        <v>103056</v>
      </c>
      <c r="G47" s="56" t="s">
        <v>97</v>
      </c>
      <c r="H47" s="9" t="s">
        <v>39</v>
      </c>
      <c r="I47" s="9">
        <v>3</v>
      </c>
      <c r="J47" s="266" t="s">
        <v>141</v>
      </c>
      <c r="K47" s="129" t="s">
        <v>274</v>
      </c>
      <c r="L47" s="598" t="s">
        <v>271</v>
      </c>
      <c r="M47" s="411">
        <v>45711</v>
      </c>
      <c r="N47" s="221">
        <v>45931</v>
      </c>
      <c r="O47" s="599">
        <v>45940</v>
      </c>
      <c r="P47" s="221"/>
      <c r="Q47" s="186"/>
      <c r="R47" s="186"/>
      <c r="S47" s="62"/>
      <c r="T47" s="542" t="s">
        <v>199</v>
      </c>
      <c r="U47" s="600"/>
      <c r="V47" s="600"/>
      <c r="W47" s="418"/>
      <c r="X47" s="601"/>
      <c r="Y47" s="601"/>
      <c r="Z47" s="601"/>
      <c r="AA47" s="601"/>
      <c r="AB47" s="601"/>
      <c r="AC47" s="601"/>
      <c r="AD47" s="601"/>
      <c r="AE47" s="420" t="s">
        <v>307</v>
      </c>
      <c r="AF47" s="601"/>
      <c r="AG47" s="601"/>
      <c r="AH47" s="592"/>
      <c r="AI47" s="602" t="s">
        <v>297</v>
      </c>
      <c r="AJ47" s="333" t="s">
        <v>279</v>
      </c>
      <c r="AK47" s="334" t="s">
        <v>297</v>
      </c>
      <c r="AL47" s="603">
        <f>83000*3</f>
        <v>249000</v>
      </c>
      <c r="AM47" s="604" t="str">
        <f t="shared" si="0"/>
        <v>Pending | Missing Material | APPLIED</v>
      </c>
      <c r="AN47" s="337"/>
    </row>
    <row r="48" spans="1:40" ht="37.5" x14ac:dyDescent="0.25">
      <c r="A48" s="322">
        <v>47</v>
      </c>
      <c r="B48" s="1314"/>
      <c r="C48" s="1316">
        <v>2024</v>
      </c>
      <c r="D48" s="122">
        <v>5765</v>
      </c>
      <c r="E48" s="122"/>
      <c r="F48" s="123">
        <v>102962</v>
      </c>
      <c r="G48" s="124" t="s">
        <v>246</v>
      </c>
      <c r="H48" s="7" t="s">
        <v>93</v>
      </c>
      <c r="I48" s="7">
        <v>1</v>
      </c>
      <c r="J48" s="265" t="s">
        <v>151</v>
      </c>
      <c r="K48" s="125" t="s">
        <v>156</v>
      </c>
      <c r="L48" s="300" t="s">
        <v>247</v>
      </c>
      <c r="M48" s="301">
        <v>45760</v>
      </c>
      <c r="N48" s="272"/>
      <c r="O48" s="589"/>
      <c r="P48" s="7"/>
      <c r="Q48" s="7"/>
      <c r="R48" s="7"/>
      <c r="S48" s="126"/>
      <c r="T48" s="556"/>
      <c r="U48" s="590"/>
      <c r="V48" s="590"/>
      <c r="W48" s="591"/>
      <c r="X48" s="591"/>
      <c r="Y48" s="405"/>
      <c r="Z48" s="592"/>
      <c r="AA48" s="591"/>
      <c r="AB48" s="591"/>
      <c r="AC48" s="507">
        <v>1</v>
      </c>
      <c r="AD48" s="591"/>
      <c r="AE48" s="591"/>
      <c r="AF48" s="591"/>
      <c r="AG48" s="591"/>
      <c r="AH48" s="591"/>
      <c r="AI48" s="605" t="s">
        <v>292</v>
      </c>
      <c r="AJ48" s="606" t="s">
        <v>279</v>
      </c>
      <c r="AK48" s="607">
        <f>6%*AL48</f>
        <v>37320</v>
      </c>
      <c r="AL48" s="595">
        <v>622000</v>
      </c>
      <c r="AM48" s="596" t="str">
        <f t="shared" si="0"/>
        <v>In Progress | No Missing | APPLIED</v>
      </c>
      <c r="AN48" s="472" t="s">
        <v>287</v>
      </c>
    </row>
    <row r="49" spans="1:40" ht="37.5" x14ac:dyDescent="0.25">
      <c r="A49" s="322">
        <v>48</v>
      </c>
      <c r="B49" s="1314"/>
      <c r="C49" s="1318"/>
      <c r="D49" s="130">
        <v>5628</v>
      </c>
      <c r="E49" s="130">
        <v>1878</v>
      </c>
      <c r="F49" s="131">
        <v>102924</v>
      </c>
      <c r="G49" s="29" t="s">
        <v>94</v>
      </c>
      <c r="H49" s="8" t="s">
        <v>93</v>
      </c>
      <c r="I49" s="8">
        <v>1</v>
      </c>
      <c r="J49" s="266" t="s">
        <v>141</v>
      </c>
      <c r="K49" s="608" t="s">
        <v>158</v>
      </c>
      <c r="L49" s="609" t="s">
        <v>157</v>
      </c>
      <c r="M49" s="409">
        <v>45721</v>
      </c>
      <c r="N49" s="610">
        <v>45858</v>
      </c>
      <c r="O49" s="611"/>
      <c r="P49" s="8" t="s">
        <v>207</v>
      </c>
      <c r="Q49" s="8"/>
      <c r="R49" s="8"/>
      <c r="S49" s="133"/>
      <c r="T49" s="612"/>
      <c r="U49" s="613"/>
      <c r="V49" s="613"/>
      <c r="W49" s="592"/>
      <c r="X49" s="405"/>
      <c r="Y49" s="592"/>
      <c r="Z49" s="592"/>
      <c r="AA49" s="592"/>
      <c r="AB49" s="392">
        <v>1</v>
      </c>
      <c r="AC49" s="592"/>
      <c r="AD49" s="592"/>
      <c r="AE49" s="592"/>
      <c r="AF49" s="592"/>
      <c r="AG49" s="592"/>
      <c r="AH49" s="592"/>
      <c r="AI49" s="511" t="s">
        <v>292</v>
      </c>
      <c r="AJ49" s="348" t="s">
        <v>279</v>
      </c>
      <c r="AK49" s="349">
        <f>6%*AL49</f>
        <v>26909.999999999996</v>
      </c>
      <c r="AL49" s="603">
        <f>390000*1.15</f>
        <v>448499.99999999994</v>
      </c>
      <c r="AM49" s="604" t="str">
        <f t="shared" si="0"/>
        <v>Completed | No Missing | APPLIED</v>
      </c>
      <c r="AN49" s="472" t="s">
        <v>287</v>
      </c>
    </row>
    <row r="50" spans="1:40" ht="37.5" x14ac:dyDescent="0.25">
      <c r="A50" s="322">
        <v>49</v>
      </c>
      <c r="B50" s="1314"/>
      <c r="C50" s="1318"/>
      <c r="D50" s="130">
        <v>4949</v>
      </c>
      <c r="E50" s="130">
        <v>1898</v>
      </c>
      <c r="F50" s="131">
        <v>102711</v>
      </c>
      <c r="G50" s="29" t="s">
        <v>308</v>
      </c>
      <c r="H50" s="8" t="s">
        <v>93</v>
      </c>
      <c r="I50" s="8">
        <v>1</v>
      </c>
      <c r="J50" s="266" t="s">
        <v>151</v>
      </c>
      <c r="K50" s="132" t="s">
        <v>156</v>
      </c>
      <c r="L50" s="609" t="s">
        <v>247</v>
      </c>
      <c r="M50" s="339">
        <v>45937</v>
      </c>
      <c r="N50" s="8" t="s">
        <v>309</v>
      </c>
      <c r="O50" s="614"/>
      <c r="P50" s="8" t="s">
        <v>217</v>
      </c>
      <c r="Q50" s="8"/>
      <c r="R50" s="8"/>
      <c r="S50" s="33"/>
      <c r="T50" s="615"/>
      <c r="U50" s="613"/>
      <c r="V50" s="613"/>
      <c r="W50" s="592"/>
      <c r="X50" s="592"/>
      <c r="Y50" s="592"/>
      <c r="Z50" s="592"/>
      <c r="AA50" s="592"/>
      <c r="AB50" s="592"/>
      <c r="AC50" s="592"/>
      <c r="AD50" s="592"/>
      <c r="AE50" s="592">
        <v>1</v>
      </c>
      <c r="AF50" s="592"/>
      <c r="AG50" s="592"/>
      <c r="AH50" s="592"/>
      <c r="AI50" s="511" t="s">
        <v>292</v>
      </c>
      <c r="AJ50" s="348" t="s">
        <v>279</v>
      </c>
      <c r="AK50" s="349">
        <f>6%*AL50</f>
        <v>33300</v>
      </c>
      <c r="AL50" s="603">
        <v>555000</v>
      </c>
      <c r="AM50" s="604" t="str">
        <f t="shared" si="0"/>
        <v>In Progress | No Missing | APPLIED</v>
      </c>
      <c r="AN50" s="472" t="s">
        <v>287</v>
      </c>
    </row>
    <row r="51" spans="1:40" ht="37.5" x14ac:dyDescent="0.25">
      <c r="A51" s="322">
        <v>50</v>
      </c>
      <c r="B51" s="1314"/>
      <c r="C51" s="1318"/>
      <c r="D51" s="130">
        <v>4319</v>
      </c>
      <c r="E51" s="130">
        <v>1658</v>
      </c>
      <c r="F51" s="131">
        <v>102441</v>
      </c>
      <c r="G51" s="29" t="s">
        <v>37</v>
      </c>
      <c r="H51" s="8" t="s">
        <v>38</v>
      </c>
      <c r="I51" s="8">
        <v>1</v>
      </c>
      <c r="J51" s="266" t="s">
        <v>151</v>
      </c>
      <c r="K51" s="132" t="s">
        <v>156</v>
      </c>
      <c r="L51" s="609" t="s">
        <v>157</v>
      </c>
      <c r="M51" s="409">
        <v>45508</v>
      </c>
      <c r="N51" s="616">
        <v>45894</v>
      </c>
      <c r="O51" s="617"/>
      <c r="P51" s="187" t="s">
        <v>218</v>
      </c>
      <c r="Q51" s="187"/>
      <c r="R51" s="187"/>
      <c r="S51" s="133"/>
      <c r="T51" s="612"/>
      <c r="U51" s="409">
        <v>45508</v>
      </c>
      <c r="V51" s="613"/>
      <c r="W51" s="592"/>
      <c r="X51" s="592"/>
      <c r="Y51" s="592"/>
      <c r="Z51" s="592"/>
      <c r="AA51" s="592"/>
      <c r="AB51" s="592"/>
      <c r="AC51" s="392">
        <v>1</v>
      </c>
      <c r="AD51" s="592"/>
      <c r="AE51" s="592"/>
      <c r="AF51" s="592"/>
      <c r="AG51" s="592"/>
      <c r="AH51" s="592"/>
      <c r="AI51" s="511" t="s">
        <v>292</v>
      </c>
      <c r="AJ51" s="618" t="s">
        <v>279</v>
      </c>
      <c r="AK51" s="619">
        <f>6%*AL51</f>
        <v>80506.44</v>
      </c>
      <c r="AL51" s="603">
        <f>1.15*1166760</f>
        <v>1341774</v>
      </c>
      <c r="AM51" s="604" t="str">
        <f t="shared" si="0"/>
        <v>In Progress | No Missing | APPLIED</v>
      </c>
      <c r="AN51" s="472" t="s">
        <v>287</v>
      </c>
    </row>
    <row r="52" spans="1:40" ht="37.5" x14ac:dyDescent="0.25">
      <c r="A52" s="322">
        <v>51</v>
      </c>
      <c r="B52" s="1314"/>
      <c r="C52" s="1318"/>
      <c r="D52" s="130">
        <v>4609</v>
      </c>
      <c r="E52" s="130"/>
      <c r="F52" s="131">
        <v>102597</v>
      </c>
      <c r="G52" s="29" t="s">
        <v>91</v>
      </c>
      <c r="H52" s="8" t="s">
        <v>92</v>
      </c>
      <c r="I52" s="8">
        <v>1</v>
      </c>
      <c r="J52" s="266" t="s">
        <v>151</v>
      </c>
      <c r="K52" s="608" t="s">
        <v>158</v>
      </c>
      <c r="L52" s="609" t="s">
        <v>157</v>
      </c>
      <c r="M52" s="409">
        <v>45657</v>
      </c>
      <c r="N52" s="8" t="s">
        <v>207</v>
      </c>
      <c r="O52" s="614"/>
      <c r="P52" s="187"/>
      <c r="Q52" s="187"/>
      <c r="R52" s="8" t="s">
        <v>207</v>
      </c>
      <c r="S52" s="133"/>
      <c r="T52" s="612"/>
      <c r="U52" s="409">
        <v>45657</v>
      </c>
      <c r="V52" s="613"/>
      <c r="W52" s="592"/>
      <c r="X52" s="592"/>
      <c r="Y52" s="467">
        <v>1</v>
      </c>
      <c r="Z52" s="592"/>
      <c r="AA52" s="592"/>
      <c r="AB52" s="592"/>
      <c r="AC52" s="592"/>
      <c r="AD52" s="592"/>
      <c r="AE52" s="592"/>
      <c r="AF52" s="592"/>
      <c r="AG52" s="592"/>
      <c r="AH52" s="592"/>
      <c r="AI52" s="511" t="s">
        <v>292</v>
      </c>
      <c r="AJ52" s="348" t="s">
        <v>269</v>
      </c>
      <c r="AK52" s="349">
        <v>0</v>
      </c>
      <c r="AL52" s="603">
        <f>1.15*1623720</f>
        <v>1867277.9999999998</v>
      </c>
      <c r="AM52" s="604" t="str">
        <f t="shared" si="0"/>
        <v>Completed | No Missing | SAFE</v>
      </c>
      <c r="AN52" s="337"/>
    </row>
    <row r="53" spans="1:40" ht="38.25" thickBot="1" x14ac:dyDescent="0.3">
      <c r="A53" s="322">
        <v>52</v>
      </c>
      <c r="B53" s="1315"/>
      <c r="C53" s="1317"/>
      <c r="D53" s="127" t="s">
        <v>188</v>
      </c>
      <c r="E53" s="127"/>
      <c r="F53" s="128">
        <v>102898</v>
      </c>
      <c r="G53" s="56" t="s">
        <v>97</v>
      </c>
      <c r="H53" s="9" t="s">
        <v>39</v>
      </c>
      <c r="I53" s="9">
        <v>1</v>
      </c>
      <c r="J53" s="620" t="s">
        <v>141</v>
      </c>
      <c r="K53" s="129" t="s">
        <v>274</v>
      </c>
      <c r="L53" s="598" t="s">
        <v>271</v>
      </c>
      <c r="M53" s="411">
        <v>45648</v>
      </c>
      <c r="N53" s="221">
        <v>45940</v>
      </c>
      <c r="O53" s="599">
        <v>45940</v>
      </c>
      <c r="P53" s="221"/>
      <c r="Q53" s="188"/>
      <c r="R53" s="188"/>
      <c r="S53" s="134"/>
      <c r="T53" s="566" t="s">
        <v>310</v>
      </c>
      <c r="U53" s="411">
        <v>45648</v>
      </c>
      <c r="V53" s="600"/>
      <c r="W53" s="601"/>
      <c r="X53" s="601"/>
      <c r="Y53" s="601"/>
      <c r="Z53" s="601"/>
      <c r="AA53" s="601"/>
      <c r="AB53" s="601"/>
      <c r="AC53" s="601"/>
      <c r="AD53" s="601"/>
      <c r="AE53" s="420" t="s">
        <v>296</v>
      </c>
      <c r="AF53" s="601"/>
      <c r="AG53" s="601"/>
      <c r="AH53" s="592"/>
      <c r="AI53" s="545" t="s">
        <v>297</v>
      </c>
      <c r="AJ53" s="461" t="s">
        <v>279</v>
      </c>
      <c r="AK53" s="462" t="s">
        <v>297</v>
      </c>
      <c r="AL53" s="621">
        <v>83000</v>
      </c>
      <c r="AM53" s="622" t="str">
        <f t="shared" si="0"/>
        <v>Pending | Missing Material | APPLIED</v>
      </c>
      <c r="AN53" s="337"/>
    </row>
    <row r="54" spans="1:40" ht="75.75" thickBot="1" x14ac:dyDescent="0.3">
      <c r="A54" s="322">
        <v>53</v>
      </c>
      <c r="B54" s="1299" t="s">
        <v>112</v>
      </c>
      <c r="C54" s="623" t="s">
        <v>113</v>
      </c>
      <c r="D54" s="135" t="s">
        <v>311</v>
      </c>
      <c r="E54" s="135">
        <v>2114</v>
      </c>
      <c r="F54" s="136" t="s">
        <v>312</v>
      </c>
      <c r="G54" s="137" t="s">
        <v>133</v>
      </c>
      <c r="H54" s="60" t="s">
        <v>39</v>
      </c>
      <c r="I54" s="60">
        <v>4</v>
      </c>
      <c r="J54" s="624" t="s">
        <v>142</v>
      </c>
      <c r="K54" s="138" t="s">
        <v>274</v>
      </c>
      <c r="L54" s="625" t="s">
        <v>271</v>
      </c>
      <c r="M54" s="576">
        <v>45897</v>
      </c>
      <c r="N54" s="222"/>
      <c r="O54" s="222">
        <v>45915</v>
      </c>
      <c r="P54" s="222"/>
      <c r="Q54" s="189"/>
      <c r="R54" s="189" t="s">
        <v>176</v>
      </c>
      <c r="S54" s="61"/>
      <c r="T54" s="626" t="s">
        <v>313</v>
      </c>
      <c r="U54" s="627"/>
      <c r="V54" s="627"/>
      <c r="W54" s="628"/>
      <c r="X54" s="628"/>
      <c r="Y54" s="628"/>
      <c r="Z54" s="628"/>
      <c r="AA54" s="628"/>
      <c r="AB54" s="628"/>
      <c r="AC54" s="506"/>
      <c r="AD54" s="628"/>
      <c r="AE54" s="507" t="s">
        <v>314</v>
      </c>
      <c r="AF54" s="628"/>
      <c r="AG54" s="628"/>
      <c r="AH54" s="628"/>
      <c r="AI54" s="508" t="s">
        <v>297</v>
      </c>
      <c r="AJ54" s="386" t="s">
        <v>279</v>
      </c>
      <c r="AK54" s="387" t="s">
        <v>297</v>
      </c>
      <c r="AL54" s="629">
        <v>375750</v>
      </c>
      <c r="AM54" s="630" t="str">
        <f t="shared" si="0"/>
        <v>Pending | Missing Material | APPLIED</v>
      </c>
      <c r="AN54" s="337"/>
    </row>
    <row r="55" spans="1:40" ht="300" x14ac:dyDescent="0.25">
      <c r="A55" s="322">
        <v>54</v>
      </c>
      <c r="B55" s="1300"/>
      <c r="C55" s="1303">
        <v>2024</v>
      </c>
      <c r="D55" s="139">
        <v>5272</v>
      </c>
      <c r="E55" s="139">
        <v>1851</v>
      </c>
      <c r="F55" s="140">
        <v>102744</v>
      </c>
      <c r="G55" s="141" t="s">
        <v>57</v>
      </c>
      <c r="H55" s="10" t="s">
        <v>109</v>
      </c>
      <c r="I55" s="10">
        <v>3</v>
      </c>
      <c r="J55" s="624" t="s">
        <v>142</v>
      </c>
      <c r="K55" s="142" t="s">
        <v>156</v>
      </c>
      <c r="L55" s="631" t="s">
        <v>157</v>
      </c>
      <c r="M55" s="301">
        <v>45735</v>
      </c>
      <c r="N55" s="632">
        <v>45962</v>
      </c>
      <c r="O55" s="633"/>
      <c r="P55" s="273" t="s">
        <v>315</v>
      </c>
      <c r="Q55" s="190"/>
      <c r="R55" s="190"/>
      <c r="S55" s="41"/>
      <c r="T55" s="534" t="s">
        <v>316</v>
      </c>
      <c r="U55" s="301">
        <v>45735</v>
      </c>
      <c r="V55" s="634"/>
      <c r="W55" s="635"/>
      <c r="X55" s="635"/>
      <c r="Y55" s="635"/>
      <c r="Z55" s="635"/>
      <c r="AA55" s="635"/>
      <c r="AB55" s="635"/>
      <c r="AC55" s="635"/>
      <c r="AD55" s="635"/>
      <c r="AE55" s="635"/>
      <c r="AF55" s="392">
        <v>3</v>
      </c>
      <c r="AG55" s="635"/>
      <c r="AH55" s="635"/>
      <c r="AI55" s="511" t="s">
        <v>292</v>
      </c>
      <c r="AJ55" s="348" t="s">
        <v>279</v>
      </c>
      <c r="AK55" s="349">
        <f>6%*AL55</f>
        <v>251941.19999999998</v>
      </c>
      <c r="AL55" s="629">
        <v>4199020</v>
      </c>
      <c r="AM55" s="630" t="str">
        <f t="shared" si="0"/>
        <v>In Progress | Missing Material | APPLIED</v>
      </c>
      <c r="AN55" s="337"/>
    </row>
    <row r="56" spans="1:40" ht="75.75" thickBot="1" x14ac:dyDescent="0.3">
      <c r="A56" s="322">
        <v>55</v>
      </c>
      <c r="B56" s="1301"/>
      <c r="C56" s="1304"/>
      <c r="D56" s="143" t="s">
        <v>188</v>
      </c>
      <c r="E56" s="143"/>
      <c r="F56" s="144">
        <v>102959</v>
      </c>
      <c r="G56" s="145" t="s">
        <v>108</v>
      </c>
      <c r="H56" s="12" t="s">
        <v>39</v>
      </c>
      <c r="I56" s="12">
        <v>1</v>
      </c>
      <c r="J56" s="636" t="s">
        <v>142</v>
      </c>
      <c r="K56" s="146" t="s">
        <v>274</v>
      </c>
      <c r="L56" s="637" t="s">
        <v>271</v>
      </c>
      <c r="M56" s="409">
        <v>45608</v>
      </c>
      <c r="N56" s="223">
        <v>45931</v>
      </c>
      <c r="O56" s="638">
        <v>45940</v>
      </c>
      <c r="P56" s="223"/>
      <c r="Q56" s="191"/>
      <c r="R56" s="191" t="s">
        <v>173</v>
      </c>
      <c r="S56" s="48"/>
      <c r="T56" s="520" t="s">
        <v>317</v>
      </c>
      <c r="U56" s="409">
        <v>45608</v>
      </c>
      <c r="V56" s="634"/>
      <c r="W56" s="635"/>
      <c r="X56" s="635"/>
      <c r="Y56" s="635"/>
      <c r="Z56" s="635"/>
      <c r="AA56" s="635"/>
      <c r="AB56" s="635"/>
      <c r="AC56" s="635"/>
      <c r="AD56" s="635"/>
      <c r="AE56" s="635"/>
      <c r="AF56" s="392" t="s">
        <v>318</v>
      </c>
      <c r="AG56" s="635"/>
      <c r="AH56" s="635"/>
      <c r="AI56" s="511" t="s">
        <v>297</v>
      </c>
      <c r="AJ56" s="348" t="s">
        <v>279</v>
      </c>
      <c r="AK56" s="349" t="s">
        <v>297</v>
      </c>
      <c r="AL56" s="639">
        <v>514000</v>
      </c>
      <c r="AM56" s="640" t="str">
        <f t="shared" si="0"/>
        <v>Pending | Missing Material | APPLIED</v>
      </c>
      <c r="AN56" s="337"/>
    </row>
    <row r="57" spans="1:40" ht="38.25" thickBot="1" x14ac:dyDescent="0.3">
      <c r="A57" s="322">
        <v>56</v>
      </c>
      <c r="B57" s="1302"/>
      <c r="C57" s="1305"/>
      <c r="D57" s="641">
        <v>25268</v>
      </c>
      <c r="E57" s="641"/>
      <c r="F57" s="642">
        <v>102948</v>
      </c>
      <c r="G57" s="147" t="s">
        <v>95</v>
      </c>
      <c r="H57" s="11" t="s">
        <v>96</v>
      </c>
      <c r="I57" s="11">
        <v>1</v>
      </c>
      <c r="J57" s="267" t="s">
        <v>151</v>
      </c>
      <c r="K57" s="148" t="s">
        <v>158</v>
      </c>
      <c r="L57" s="643" t="s">
        <v>157</v>
      </c>
      <c r="M57" s="644">
        <v>45748</v>
      </c>
      <c r="N57" s="645">
        <v>45748</v>
      </c>
      <c r="O57" s="646"/>
      <c r="P57" s="208"/>
      <c r="Q57" s="192"/>
      <c r="R57" s="192"/>
      <c r="S57" s="49"/>
      <c r="T57" s="647"/>
      <c r="U57" s="648"/>
      <c r="V57" s="648"/>
      <c r="W57" s="649"/>
      <c r="X57" s="649"/>
      <c r="Y57" s="369" t="s">
        <v>319</v>
      </c>
      <c r="Z57" s="649"/>
      <c r="AA57" s="649"/>
      <c r="AB57" s="649"/>
      <c r="AC57" s="649"/>
      <c r="AD57" s="649"/>
      <c r="AE57" s="649"/>
      <c r="AF57" s="649"/>
      <c r="AG57" s="649"/>
      <c r="AH57" s="649"/>
      <c r="AI57" s="545" t="s">
        <v>292</v>
      </c>
      <c r="AJ57" s="545" t="s">
        <v>269</v>
      </c>
      <c r="AK57" s="650" t="s">
        <v>56</v>
      </c>
      <c r="AL57" s="651">
        <f>1.15*162314</f>
        <v>186661.09999999998</v>
      </c>
      <c r="AM57" s="652" t="str">
        <f t="shared" si="0"/>
        <v>Completed | No Missing | SAFE</v>
      </c>
      <c r="AN57" s="337"/>
    </row>
    <row r="58" spans="1:40" ht="37.5" x14ac:dyDescent="0.25">
      <c r="A58" s="322">
        <v>57</v>
      </c>
      <c r="B58" s="1306" t="s">
        <v>114</v>
      </c>
      <c r="C58" s="1268" t="s">
        <v>113</v>
      </c>
      <c r="D58" s="1281" t="s">
        <v>320</v>
      </c>
      <c r="E58" s="1281" t="s">
        <v>242</v>
      </c>
      <c r="F58" s="1284" t="s">
        <v>321</v>
      </c>
      <c r="G58" s="1287" t="s">
        <v>135</v>
      </c>
      <c r="H58" s="13" t="s">
        <v>31</v>
      </c>
      <c r="I58" s="13">
        <v>2</v>
      </c>
      <c r="J58" s="1290" t="s">
        <v>151</v>
      </c>
      <c r="K58" s="151" t="s">
        <v>156</v>
      </c>
      <c r="L58" s="1293" t="s">
        <v>275</v>
      </c>
      <c r="M58" s="377">
        <v>45943</v>
      </c>
      <c r="N58" s="653">
        <v>45950</v>
      </c>
      <c r="O58" s="1296">
        <v>45945</v>
      </c>
      <c r="P58" s="653" t="s">
        <v>219</v>
      </c>
      <c r="Q58" s="195"/>
      <c r="R58" s="195" t="s">
        <v>165</v>
      </c>
      <c r="S58" s="42"/>
      <c r="T58" s="1265" t="s">
        <v>322</v>
      </c>
      <c r="U58" s="654"/>
      <c r="V58" s="654"/>
      <c r="W58" s="655"/>
      <c r="X58" s="655"/>
      <c r="Y58" s="655"/>
      <c r="Z58" s="655"/>
      <c r="AA58" s="655"/>
      <c r="AB58" s="655"/>
      <c r="AC58" s="655"/>
      <c r="AD58" s="655"/>
      <c r="AE58" s="384">
        <v>2</v>
      </c>
      <c r="AF58" s="655"/>
      <c r="AG58" s="655"/>
      <c r="AH58" s="655"/>
      <c r="AI58" s="508" t="s">
        <v>292</v>
      </c>
      <c r="AJ58" s="386" t="s">
        <v>291</v>
      </c>
      <c r="AK58" s="387">
        <v>0</v>
      </c>
      <c r="AL58" s="656">
        <v>904000</v>
      </c>
      <c r="AM58" s="657" t="str">
        <f t="shared" si="0"/>
        <v>In Progress | Missing Material | CRITICAL</v>
      </c>
      <c r="AN58" s="472" t="s">
        <v>287</v>
      </c>
    </row>
    <row r="59" spans="1:40" ht="37.5" x14ac:dyDescent="0.25">
      <c r="A59" s="322">
        <v>58</v>
      </c>
      <c r="B59" s="1307"/>
      <c r="C59" s="1269"/>
      <c r="D59" s="1282"/>
      <c r="E59" s="1282"/>
      <c r="F59" s="1285"/>
      <c r="G59" s="1288"/>
      <c r="H59" s="14" t="s">
        <v>31</v>
      </c>
      <c r="I59" s="14">
        <v>1</v>
      </c>
      <c r="J59" s="1291"/>
      <c r="K59" s="154" t="s">
        <v>156</v>
      </c>
      <c r="L59" s="1294"/>
      <c r="M59" s="339">
        <v>45946</v>
      </c>
      <c r="N59" s="224">
        <v>45950</v>
      </c>
      <c r="O59" s="1297"/>
      <c r="P59" s="224"/>
      <c r="Q59" s="193"/>
      <c r="R59" s="193" t="s">
        <v>165</v>
      </c>
      <c r="S59" s="43"/>
      <c r="T59" s="1266"/>
      <c r="U59" s="658"/>
      <c r="V59" s="658"/>
      <c r="W59" s="659"/>
      <c r="X59" s="659"/>
      <c r="Y59" s="659"/>
      <c r="Z59" s="659"/>
      <c r="AA59" s="659"/>
      <c r="AB59" s="659"/>
      <c r="AC59" s="659"/>
      <c r="AD59" s="659"/>
      <c r="AE59" s="345">
        <v>1</v>
      </c>
      <c r="AF59" s="659"/>
      <c r="AG59" s="659"/>
      <c r="AH59" s="659"/>
      <c r="AI59" s="511" t="s">
        <v>292</v>
      </c>
      <c r="AJ59" s="348" t="s">
        <v>291</v>
      </c>
      <c r="AK59" s="349">
        <f>6%*AL59</f>
        <v>27120</v>
      </c>
      <c r="AL59" s="660">
        <v>452000</v>
      </c>
      <c r="AM59" s="661" t="str">
        <f t="shared" si="0"/>
        <v>In Progress | No Missing | CRITICAL</v>
      </c>
      <c r="AN59" s="662" t="s">
        <v>287</v>
      </c>
    </row>
    <row r="60" spans="1:40" ht="38.25" thickBot="1" x14ac:dyDescent="0.3">
      <c r="A60" s="322">
        <v>59</v>
      </c>
      <c r="B60" s="1307"/>
      <c r="C60" s="1270"/>
      <c r="D60" s="1283"/>
      <c r="E60" s="1283"/>
      <c r="F60" s="1286"/>
      <c r="G60" s="1289"/>
      <c r="H60" s="15" t="s">
        <v>31</v>
      </c>
      <c r="I60" s="15">
        <v>1</v>
      </c>
      <c r="J60" s="1292"/>
      <c r="K60" s="157" t="s">
        <v>156</v>
      </c>
      <c r="L60" s="1295"/>
      <c r="M60" s="454">
        <v>45946</v>
      </c>
      <c r="N60" s="225">
        <v>45950</v>
      </c>
      <c r="O60" s="1298"/>
      <c r="P60" s="225"/>
      <c r="Q60" s="194"/>
      <c r="R60" s="194" t="s">
        <v>165</v>
      </c>
      <c r="S60" s="59"/>
      <c r="T60" s="1267"/>
      <c r="U60" s="663"/>
      <c r="V60" s="663"/>
      <c r="W60" s="664"/>
      <c r="X60" s="664"/>
      <c r="Y60" s="664"/>
      <c r="Z60" s="664"/>
      <c r="AA60" s="664"/>
      <c r="AB60" s="664"/>
      <c r="AC60" s="664"/>
      <c r="AD60" s="664"/>
      <c r="AE60" s="544">
        <v>1</v>
      </c>
      <c r="AF60" s="664"/>
      <c r="AG60" s="664"/>
      <c r="AH60" s="664"/>
      <c r="AI60" s="545" t="s">
        <v>292</v>
      </c>
      <c r="AJ60" s="461" t="s">
        <v>291</v>
      </c>
      <c r="AK60" s="423">
        <f>6%*AL60</f>
        <v>27120</v>
      </c>
      <c r="AL60" s="665">
        <v>452000</v>
      </c>
      <c r="AM60" s="666" t="str">
        <f t="shared" si="0"/>
        <v>In Progress | No Missing | CRITICAL</v>
      </c>
      <c r="AN60" s="662" t="s">
        <v>287</v>
      </c>
    </row>
    <row r="61" spans="1:40" ht="37.5" x14ac:dyDescent="0.25">
      <c r="A61" s="322">
        <v>60</v>
      </c>
      <c r="B61" s="1307"/>
      <c r="C61" s="1268">
        <v>2024</v>
      </c>
      <c r="D61" s="149">
        <v>4490</v>
      </c>
      <c r="E61" s="149">
        <v>1699</v>
      </c>
      <c r="F61" s="150">
        <v>102586</v>
      </c>
      <c r="G61" s="289" t="s">
        <v>40</v>
      </c>
      <c r="H61" s="13" t="s">
        <v>31</v>
      </c>
      <c r="I61" s="13">
        <v>1</v>
      </c>
      <c r="J61" s="295" t="s">
        <v>142</v>
      </c>
      <c r="K61" s="151" t="s">
        <v>156</v>
      </c>
      <c r="L61" s="667" t="s">
        <v>157</v>
      </c>
      <c r="M61" s="301">
        <v>45685</v>
      </c>
      <c r="N61" s="277" t="s">
        <v>181</v>
      </c>
      <c r="O61" s="668"/>
      <c r="P61" s="276" t="s">
        <v>220</v>
      </c>
      <c r="Q61" s="195"/>
      <c r="R61" s="195" t="s">
        <v>182</v>
      </c>
      <c r="S61" s="42"/>
      <c r="T61" s="556"/>
      <c r="U61" s="655"/>
      <c r="V61" s="669"/>
      <c r="W61" s="655"/>
      <c r="X61" s="655"/>
      <c r="Y61" s="655"/>
      <c r="Z61" s="655"/>
      <c r="AA61" s="655"/>
      <c r="AB61" s="655"/>
      <c r="AC61" s="507">
        <v>1</v>
      </c>
      <c r="AD61" s="655"/>
      <c r="AE61" s="655"/>
      <c r="AF61" s="655"/>
      <c r="AG61" s="655"/>
      <c r="AH61" s="655"/>
      <c r="AI61" s="508" t="s">
        <v>292</v>
      </c>
      <c r="AJ61" s="386" t="s">
        <v>323</v>
      </c>
      <c r="AK61" s="387">
        <f>6%*AL61</f>
        <v>41700</v>
      </c>
      <c r="AL61" s="656">
        <v>695000</v>
      </c>
      <c r="AM61" s="657" t="str">
        <f t="shared" si="0"/>
        <v>In Progress | No Missing | Applied</v>
      </c>
      <c r="AN61" s="337"/>
    </row>
    <row r="62" spans="1:40" ht="93.75" x14ac:dyDescent="0.25">
      <c r="A62" s="322">
        <v>61</v>
      </c>
      <c r="B62" s="1307"/>
      <c r="C62" s="1269"/>
      <c r="D62" s="152">
        <v>5786</v>
      </c>
      <c r="E62" s="152">
        <v>1905</v>
      </c>
      <c r="F62" s="153">
        <v>102640</v>
      </c>
      <c r="G62" s="290" t="s">
        <v>98</v>
      </c>
      <c r="H62" s="14" t="s">
        <v>42</v>
      </c>
      <c r="I62" s="14">
        <v>1</v>
      </c>
      <c r="J62" s="296" t="s">
        <v>142</v>
      </c>
      <c r="K62" s="154" t="s">
        <v>156</v>
      </c>
      <c r="L62" s="670" t="s">
        <v>157</v>
      </c>
      <c r="M62" s="339">
        <v>45930</v>
      </c>
      <c r="N62" s="274">
        <v>45992</v>
      </c>
      <c r="O62" s="671"/>
      <c r="P62" s="209" t="s">
        <v>221</v>
      </c>
      <c r="Q62" s="196"/>
      <c r="R62" s="196" t="s">
        <v>172</v>
      </c>
      <c r="S62" s="43"/>
      <c r="T62" s="612" t="s">
        <v>324</v>
      </c>
      <c r="U62" s="658"/>
      <c r="V62" s="658"/>
      <c r="W62" s="659"/>
      <c r="X62" s="659"/>
      <c r="Y62" s="659"/>
      <c r="Z62" s="659"/>
      <c r="AA62" s="659"/>
      <c r="AB62" s="659"/>
      <c r="AC62" s="659"/>
      <c r="AD62" s="405"/>
      <c r="AE62" s="659"/>
      <c r="AF62" s="659"/>
      <c r="AG62" s="392">
        <v>1</v>
      </c>
      <c r="AH62" s="659"/>
      <c r="AI62" s="511" t="s">
        <v>292</v>
      </c>
      <c r="AJ62" s="348" t="s">
        <v>325</v>
      </c>
      <c r="AK62" s="334"/>
      <c r="AL62" s="660">
        <f>1.15*1295000</f>
        <v>1489250</v>
      </c>
      <c r="AM62" s="661" t="str">
        <f t="shared" si="0"/>
        <v>In Progress | Missing Material | Critical</v>
      </c>
      <c r="AN62" s="337"/>
    </row>
    <row r="63" spans="1:40" ht="38.25" thickBot="1" x14ac:dyDescent="0.3">
      <c r="A63" s="322">
        <v>62</v>
      </c>
      <c r="B63" s="1308"/>
      <c r="C63" s="1270"/>
      <c r="D63" s="155">
        <v>4459</v>
      </c>
      <c r="E63" s="155">
        <v>1691</v>
      </c>
      <c r="F63" s="156">
        <v>102584</v>
      </c>
      <c r="G63" s="291" t="s">
        <v>41</v>
      </c>
      <c r="H63" s="15" t="s">
        <v>42</v>
      </c>
      <c r="I63" s="15">
        <v>1</v>
      </c>
      <c r="J63" s="672" t="s">
        <v>142</v>
      </c>
      <c r="K63" s="157" t="s">
        <v>156</v>
      </c>
      <c r="L63" s="673" t="s">
        <v>157</v>
      </c>
      <c r="M63" s="411">
        <v>45515</v>
      </c>
      <c r="N63" s="674">
        <v>45910</v>
      </c>
      <c r="O63" s="675"/>
      <c r="P63" s="210" t="s">
        <v>222</v>
      </c>
      <c r="Q63" s="197"/>
      <c r="R63" s="197" t="s">
        <v>183</v>
      </c>
      <c r="S63" s="59"/>
      <c r="T63" s="566"/>
      <c r="U63" s="411">
        <v>45515</v>
      </c>
      <c r="V63" s="663"/>
      <c r="W63" s="664"/>
      <c r="X63" s="664"/>
      <c r="Y63" s="664"/>
      <c r="Z63" s="664"/>
      <c r="AA63" s="664"/>
      <c r="AB63" s="664"/>
      <c r="AC63" s="420">
        <v>1</v>
      </c>
      <c r="AD63" s="664"/>
      <c r="AE63" s="664"/>
      <c r="AF63" s="664"/>
      <c r="AG63" s="664"/>
      <c r="AH63" s="659"/>
      <c r="AI63" s="676" t="s">
        <v>304</v>
      </c>
      <c r="AJ63" s="393" t="s">
        <v>323</v>
      </c>
      <c r="AK63" s="677">
        <f>6%*AL63</f>
        <v>81903</v>
      </c>
      <c r="AL63" s="665">
        <f>1.15*1187000</f>
        <v>1365050</v>
      </c>
      <c r="AM63" s="666" t="str">
        <f t="shared" si="0"/>
        <v>In Progress | No Missing | Applied</v>
      </c>
      <c r="AN63" s="337"/>
    </row>
    <row r="64" spans="1:40" ht="75.75" thickBot="1" x14ac:dyDescent="0.3">
      <c r="A64" s="322">
        <v>63</v>
      </c>
      <c r="B64" s="1271" t="s">
        <v>162</v>
      </c>
      <c r="C64" s="1274">
        <v>2024</v>
      </c>
      <c r="D64" s="158">
        <v>4110</v>
      </c>
      <c r="E64" s="158">
        <v>1602</v>
      </c>
      <c r="F64" s="159">
        <v>102408</v>
      </c>
      <c r="G64" s="30" t="s">
        <v>43</v>
      </c>
      <c r="H64" s="16" t="s">
        <v>72</v>
      </c>
      <c r="I64" s="16">
        <v>2</v>
      </c>
      <c r="J64" s="268" t="s">
        <v>151</v>
      </c>
      <c r="K64" s="160" t="s">
        <v>156</v>
      </c>
      <c r="L64" s="678" t="s">
        <v>157</v>
      </c>
      <c r="M64" s="301">
        <v>45341</v>
      </c>
      <c r="N64" s="240">
        <v>45845</v>
      </c>
      <c r="O64" s="679"/>
      <c r="P64" s="211" t="s">
        <v>171</v>
      </c>
      <c r="Q64" s="198"/>
      <c r="R64" s="198" t="s">
        <v>170</v>
      </c>
      <c r="S64" s="44"/>
      <c r="T64" s="556"/>
      <c r="U64" s="301">
        <v>45341</v>
      </c>
      <c r="V64" s="680"/>
      <c r="W64" s="681"/>
      <c r="X64" s="681"/>
      <c r="Y64" s="681"/>
      <c r="Z64" s="681"/>
      <c r="AA64" s="681"/>
      <c r="AB64" s="507">
        <v>2</v>
      </c>
      <c r="AC64" s="681"/>
      <c r="AD64" s="681"/>
      <c r="AE64" s="681"/>
      <c r="AF64" s="681"/>
      <c r="AG64" s="681"/>
      <c r="AH64" s="681"/>
      <c r="AI64" s="508" t="s">
        <v>326</v>
      </c>
      <c r="AJ64" s="386" t="s">
        <v>323</v>
      </c>
      <c r="AK64" s="387">
        <f>5%*AL64</f>
        <v>75000</v>
      </c>
      <c r="AL64" s="682">
        <v>1500000</v>
      </c>
      <c r="AM64" s="683" t="str">
        <f t="shared" si="0"/>
        <v>In Progress | No Missing | Applied</v>
      </c>
      <c r="AN64" s="337"/>
    </row>
    <row r="65" spans="1:40" ht="75" x14ac:dyDescent="0.25">
      <c r="A65" s="322">
        <v>64</v>
      </c>
      <c r="B65" s="1272"/>
      <c r="C65" s="1275"/>
      <c r="D65" s="161">
        <v>4460</v>
      </c>
      <c r="E65" s="161"/>
      <c r="F65" s="162">
        <v>102578</v>
      </c>
      <c r="G65" s="57" t="s">
        <v>200</v>
      </c>
      <c r="H65" s="17" t="s">
        <v>71</v>
      </c>
      <c r="I65" s="17">
        <v>4</v>
      </c>
      <c r="J65" s="268" t="s">
        <v>151</v>
      </c>
      <c r="K65" s="608" t="s">
        <v>158</v>
      </c>
      <c r="L65" s="684" t="s">
        <v>157</v>
      </c>
      <c r="M65" s="409">
        <v>45435</v>
      </c>
      <c r="N65" s="241" t="s">
        <v>237</v>
      </c>
      <c r="O65" s="685">
        <v>45910</v>
      </c>
      <c r="P65" s="212"/>
      <c r="Q65" s="20"/>
      <c r="R65" s="20"/>
      <c r="S65" s="50"/>
      <c r="T65" s="612" t="s">
        <v>327</v>
      </c>
      <c r="U65" s="409">
        <v>45435</v>
      </c>
      <c r="V65" s="686">
        <v>1</v>
      </c>
      <c r="W65" s="687">
        <v>2</v>
      </c>
      <c r="X65" s="687">
        <v>1</v>
      </c>
      <c r="Y65" s="688"/>
      <c r="Z65" s="688"/>
      <c r="AA65" s="688"/>
      <c r="AB65" s="688"/>
      <c r="AC65" s="688"/>
      <c r="AD65" s="688"/>
      <c r="AE65" s="688"/>
      <c r="AF65" s="688"/>
      <c r="AG65" s="688"/>
      <c r="AH65" s="689"/>
      <c r="AI65" s="690" t="s">
        <v>292</v>
      </c>
      <c r="AJ65" s="691" t="s">
        <v>269</v>
      </c>
      <c r="AK65" s="692" t="s">
        <v>56</v>
      </c>
      <c r="AL65" s="693">
        <v>1240000</v>
      </c>
      <c r="AM65" s="694" t="str">
        <f t="shared" si="0"/>
        <v>Completed | Missing Material | SAFE</v>
      </c>
      <c r="AN65" s="337"/>
    </row>
    <row r="66" spans="1:40" ht="38.25" thickBot="1" x14ac:dyDescent="0.3">
      <c r="A66" s="322">
        <v>65</v>
      </c>
      <c r="B66" s="1273"/>
      <c r="C66" s="1276"/>
      <c r="D66" s="21"/>
      <c r="E66" s="21">
        <v>1573</v>
      </c>
      <c r="F66" s="18">
        <v>102320</v>
      </c>
      <c r="G66" s="31" t="s">
        <v>44</v>
      </c>
      <c r="H66" s="19" t="s">
        <v>45</v>
      </c>
      <c r="I66" s="19">
        <v>4</v>
      </c>
      <c r="J66" s="695" t="s">
        <v>151</v>
      </c>
      <c r="K66" s="163" t="s">
        <v>274</v>
      </c>
      <c r="L66" s="696" t="s">
        <v>157</v>
      </c>
      <c r="M66" s="411">
        <v>45362</v>
      </c>
      <c r="N66" s="278" t="s">
        <v>186</v>
      </c>
      <c r="O66" s="685"/>
      <c r="P66" s="19"/>
      <c r="Q66" s="199"/>
      <c r="R66" s="199" t="s">
        <v>186</v>
      </c>
      <c r="S66" s="164"/>
      <c r="T66" s="697"/>
      <c r="U66" s="411">
        <v>45362</v>
      </c>
      <c r="V66" s="698"/>
      <c r="W66" s="699"/>
      <c r="X66" s="699"/>
      <c r="Y66" s="369">
        <v>2</v>
      </c>
      <c r="Z66" s="699"/>
      <c r="AA66" s="699"/>
      <c r="AB66" s="420">
        <v>2</v>
      </c>
      <c r="AC66" s="699"/>
      <c r="AD66" s="699"/>
      <c r="AE66" s="699"/>
      <c r="AF66" s="699"/>
      <c r="AG66" s="699"/>
      <c r="AH66" s="699"/>
      <c r="AI66" s="700" t="s">
        <v>292</v>
      </c>
      <c r="AJ66" s="701" t="s">
        <v>269</v>
      </c>
      <c r="AK66" s="702" t="s">
        <v>56</v>
      </c>
      <c r="AL66" s="703">
        <v>4645100</v>
      </c>
      <c r="AM66" s="704" t="str">
        <f t="shared" si="0"/>
        <v>Pending | No Missing | SAFE</v>
      </c>
      <c r="AN66" s="337"/>
    </row>
    <row r="67" spans="1:40" ht="18.75" x14ac:dyDescent="0.25">
      <c r="A67" s="322">
        <v>66</v>
      </c>
      <c r="B67" s="1277" t="s">
        <v>147</v>
      </c>
      <c r="C67" s="1279" t="s">
        <v>113</v>
      </c>
      <c r="D67" s="165">
        <v>6191</v>
      </c>
      <c r="E67" s="165"/>
      <c r="F67" s="166">
        <v>103103</v>
      </c>
      <c r="G67" s="58" t="s">
        <v>136</v>
      </c>
      <c r="H67" s="5" t="s">
        <v>31</v>
      </c>
      <c r="I67" s="5">
        <v>27</v>
      </c>
      <c r="J67" s="269" t="s">
        <v>151</v>
      </c>
      <c r="K67" s="5" t="s">
        <v>274</v>
      </c>
      <c r="L67" s="705" t="s">
        <v>157</v>
      </c>
      <c r="M67" s="706"/>
      <c r="N67" s="707" t="s">
        <v>192</v>
      </c>
      <c r="O67" s="708"/>
      <c r="P67" s="5" t="s">
        <v>207</v>
      </c>
      <c r="Q67" s="51"/>
      <c r="R67" s="51" t="s">
        <v>192</v>
      </c>
      <c r="S67" s="52"/>
      <c r="T67" s="709"/>
      <c r="U67" s="627"/>
      <c r="V67" s="627"/>
      <c r="W67" s="628"/>
      <c r="X67" s="628"/>
      <c r="Y67" s="628"/>
      <c r="Z67" s="628"/>
      <c r="AA67" s="628"/>
      <c r="AB67" s="506"/>
      <c r="AC67" s="507">
        <v>10</v>
      </c>
      <c r="AD67" s="628"/>
      <c r="AE67" s="628"/>
      <c r="AF67" s="628"/>
      <c r="AG67" s="628"/>
      <c r="AH67" s="710"/>
      <c r="AI67" s="508" t="s">
        <v>56</v>
      </c>
      <c r="AJ67" s="386" t="s">
        <v>269</v>
      </c>
      <c r="AK67" s="387" t="s">
        <v>56</v>
      </c>
      <c r="AL67" s="711">
        <v>9179811</v>
      </c>
      <c r="AM67" s="712" t="str">
        <f>K67 &amp; " | " &amp; IF(T67&lt;&gt;"", "Missing Material", "No Missing") &amp; " | " &amp; AJ67</f>
        <v>Pending | No Missing | SAFE</v>
      </c>
      <c r="AN67" s="337"/>
    </row>
    <row r="68" spans="1:40" ht="38.25" thickBot="1" x14ac:dyDescent="0.3">
      <c r="A68" s="322">
        <v>67</v>
      </c>
      <c r="B68" s="1278"/>
      <c r="C68" s="1280"/>
      <c r="D68" s="22">
        <v>6009</v>
      </c>
      <c r="E68" s="22"/>
      <c r="F68" s="34" t="s">
        <v>179</v>
      </c>
      <c r="G68" s="32" t="s">
        <v>137</v>
      </c>
      <c r="H68" s="23" t="s">
        <v>31</v>
      </c>
      <c r="I68" s="23">
        <v>20</v>
      </c>
      <c r="J68" s="713" t="s">
        <v>151</v>
      </c>
      <c r="K68" s="358" t="s">
        <v>158</v>
      </c>
      <c r="L68" s="714" t="s">
        <v>157</v>
      </c>
      <c r="M68" s="715"/>
      <c r="N68" s="716" t="s">
        <v>237</v>
      </c>
      <c r="O68" s="717">
        <v>45858</v>
      </c>
      <c r="P68" s="23" t="s">
        <v>207</v>
      </c>
      <c r="Q68" s="718"/>
      <c r="R68" s="200"/>
      <c r="S68" s="167"/>
      <c r="T68" s="697" t="s">
        <v>328</v>
      </c>
      <c r="U68" s="648"/>
      <c r="V68" s="648"/>
      <c r="W68" s="649"/>
      <c r="X68" s="649"/>
      <c r="Y68" s="649"/>
      <c r="Z68" s="649"/>
      <c r="AA68" s="649"/>
      <c r="AB68" s="649"/>
      <c r="AC68" s="649"/>
      <c r="AD68" s="649"/>
      <c r="AE68" s="649"/>
      <c r="AF68" s="649"/>
      <c r="AG68" s="649"/>
      <c r="AH68" s="719"/>
      <c r="AI68" s="545" t="s">
        <v>56</v>
      </c>
      <c r="AJ68" s="461" t="s">
        <v>269</v>
      </c>
      <c r="AK68" s="462" t="s">
        <v>56</v>
      </c>
      <c r="AL68" s="720">
        <v>6821616</v>
      </c>
      <c r="AM68" s="721" t="str">
        <f>K68 &amp; " | " &amp; IF(T68&lt;&gt;"", "Missing Material", "No Missing") &amp; " | " &amp; AJ68</f>
        <v>Completed | Missing Material | SAFE</v>
      </c>
      <c r="AN68" s="337"/>
    </row>
    <row r="74" spans="1:40" ht="15.75" thickBot="1" x14ac:dyDescent="0.3"/>
    <row r="75" spans="1:40" ht="22.5" x14ac:dyDescent="0.45">
      <c r="Q75" s="725" t="s">
        <v>329</v>
      </c>
      <c r="R75" s="726">
        <f>COUNTIF(H2:H102, "&lt;&gt;")</f>
        <v>67</v>
      </c>
    </row>
    <row r="76" spans="1:40" ht="22.5" x14ac:dyDescent="0.45">
      <c r="Q76" s="727" t="s">
        <v>330</v>
      </c>
      <c r="R76" s="728" t="e">
        <f>SUM(#REF!)</f>
        <v>#REF!</v>
      </c>
    </row>
    <row r="77" spans="1:40" ht="22.5" x14ac:dyDescent="0.45">
      <c r="Q77" s="727" t="s">
        <v>331</v>
      </c>
      <c r="R77" s="729" t="e">
        <f>SUM(I6+I18+I19+I21+I24+I25+I27+I29+I39+I40+I43+I44+I46+I47+I48+I53+I56+I57+I58+I59+I63+I64+I65+I66)</f>
        <v>#VALUE!</v>
      </c>
    </row>
    <row r="78" spans="1:40" ht="22.5" x14ac:dyDescent="0.45">
      <c r="Q78" s="727" t="s">
        <v>332</v>
      </c>
      <c r="R78" s="729" t="e">
        <f>SUM(#REF!+I1+I2+I3+I4+I7+I12+I13+I14+I15+I16+I17+I20+I22+I23+I41+I42+I49+I50+I60+I61)</f>
        <v>#REF!</v>
      </c>
    </row>
    <row r="79" spans="1:40" ht="22.5" x14ac:dyDescent="0.45">
      <c r="Q79" s="727" t="s">
        <v>333</v>
      </c>
      <c r="R79" s="729">
        <f>SUM(I54+I52+I51+I45+I38+I37+I36+I35+I34+I33+I32+I31+I30+I26)</f>
        <v>51</v>
      </c>
    </row>
    <row r="80" spans="1:40" ht="22.5" x14ac:dyDescent="0.45">
      <c r="Q80" s="727" t="s">
        <v>334</v>
      </c>
      <c r="R80" s="730" t="e">
        <f>COUNTIF(#REF!, "APPLIED")</f>
        <v>#REF!</v>
      </c>
    </row>
    <row r="81" spans="17:18" ht="22.5" x14ac:dyDescent="0.45">
      <c r="Q81" s="727" t="s">
        <v>335</v>
      </c>
      <c r="R81" s="731">
        <f>COUNTIF(AJ1:AJ101, "Critical")</f>
        <v>9</v>
      </c>
    </row>
    <row r="82" spans="17:18" ht="22.5" x14ac:dyDescent="0.45">
      <c r="Q82" s="727" t="s">
        <v>336</v>
      </c>
      <c r="R82" s="732" t="e">
        <f>COUNTIF(#REF!, "SAFE")</f>
        <v>#REF!</v>
      </c>
    </row>
    <row r="83" spans="17:18" ht="23.25" thickBot="1" x14ac:dyDescent="0.5">
      <c r="Q83" s="733" t="s">
        <v>337</v>
      </c>
      <c r="R83" s="734" t="e">
        <f>COUNTIF(#REF!, "&lt;&gt;")</f>
        <v>#REF!</v>
      </c>
    </row>
    <row r="84" spans="17:18" x14ac:dyDescent="0.25">
      <c r="Q84" s="68"/>
      <c r="R84" s="68"/>
    </row>
    <row r="85" spans="17:18" x14ac:dyDescent="0.25">
      <c r="Q85" s="68"/>
      <c r="R85" s="68"/>
    </row>
    <row r="86" spans="17:18" ht="15.75" thickBot="1" x14ac:dyDescent="0.3">
      <c r="Q86" s="68"/>
      <c r="R86" s="68"/>
    </row>
    <row r="87" spans="17:18" ht="23.25" thickBot="1" x14ac:dyDescent="0.3">
      <c r="Q87" s="735" t="s">
        <v>338</v>
      </c>
      <c r="R87" s="736" t="s">
        <v>339</v>
      </c>
    </row>
    <row r="88" spans="17:18" ht="22.5" x14ac:dyDescent="0.25">
      <c r="Q88" s="737" t="s">
        <v>340</v>
      </c>
      <c r="R88" s="738" t="e">
        <f>SUM(#REF!)</f>
        <v>#REF!</v>
      </c>
    </row>
    <row r="89" spans="17:18" ht="22.5" x14ac:dyDescent="0.25">
      <c r="Q89" s="739" t="s">
        <v>341</v>
      </c>
      <c r="R89" s="740">
        <f>SUM(W1:W98)</f>
        <v>2</v>
      </c>
    </row>
    <row r="90" spans="17:18" ht="22.5" x14ac:dyDescent="0.25">
      <c r="Q90" s="739" t="s">
        <v>342</v>
      </c>
      <c r="R90" s="740">
        <f>SUM(X2:X99)</f>
        <v>1</v>
      </c>
    </row>
    <row r="91" spans="17:18" ht="22.5" x14ac:dyDescent="0.25">
      <c r="Q91" s="739" t="s">
        <v>343</v>
      </c>
      <c r="R91" s="740">
        <f>SUM(Y3:Y100)</f>
        <v>3</v>
      </c>
    </row>
    <row r="92" spans="17:18" ht="22.5" x14ac:dyDescent="0.25">
      <c r="Q92" s="739" t="s">
        <v>344</v>
      </c>
      <c r="R92" s="740" t="e">
        <f>SUM(#REF!)</f>
        <v>#REF!</v>
      </c>
    </row>
    <row r="93" spans="17:18" ht="22.5" x14ac:dyDescent="0.25">
      <c r="Q93" s="739" t="s">
        <v>345</v>
      </c>
      <c r="R93" s="740" t="e">
        <f>SUM(#REF!)</f>
        <v>#REF!</v>
      </c>
    </row>
    <row r="94" spans="17:18" ht="22.5" x14ac:dyDescent="0.25">
      <c r="Q94" s="739" t="s">
        <v>346</v>
      </c>
      <c r="R94" s="741" t="e">
        <f>SUM(#REF!)</f>
        <v>#REF!</v>
      </c>
    </row>
    <row r="95" spans="17:18" ht="22.5" x14ac:dyDescent="0.25">
      <c r="Q95" s="739" t="s">
        <v>347</v>
      </c>
      <c r="R95" s="742" t="e">
        <f>SUM(#REF!)</f>
        <v>#REF!</v>
      </c>
    </row>
    <row r="96" spans="17:18" ht="22.5" x14ac:dyDescent="0.25">
      <c r="Q96" s="739" t="s">
        <v>348</v>
      </c>
      <c r="R96" s="742" t="e">
        <f>SUM(#REF!)</f>
        <v>#REF!</v>
      </c>
    </row>
    <row r="97" spans="17:18" ht="22.5" x14ac:dyDescent="0.25">
      <c r="Q97" s="739" t="s">
        <v>193</v>
      </c>
      <c r="R97" s="742" t="e">
        <f>SUM(#REF!)</f>
        <v>#REF!</v>
      </c>
    </row>
    <row r="98" spans="17:18" ht="22.5" x14ac:dyDescent="0.25">
      <c r="Q98" s="739" t="s">
        <v>349</v>
      </c>
      <c r="R98" s="742" t="e">
        <f>SUM(#REF!)</f>
        <v>#REF!</v>
      </c>
    </row>
    <row r="99" spans="17:18" ht="22.5" x14ac:dyDescent="0.25">
      <c r="Q99" s="739" t="s">
        <v>350</v>
      </c>
      <c r="R99" s="742" t="e">
        <f>SUM(#REF!)</f>
        <v>#REF!</v>
      </c>
    </row>
    <row r="100" spans="17:18" ht="23.25" thickBot="1" x14ac:dyDescent="0.3">
      <c r="Q100" s="743">
        <v>2026</v>
      </c>
      <c r="R100" s="744" t="e">
        <f>SUM(#REF!)</f>
        <v>#REF!</v>
      </c>
    </row>
    <row r="101" spans="17:18" ht="23.25" thickBot="1" x14ac:dyDescent="0.3">
      <c r="Q101" s="745" t="s">
        <v>351</v>
      </c>
      <c r="R101" s="746" t="e">
        <f>SUM(R88:R100)</f>
        <v>#REF!</v>
      </c>
    </row>
  </sheetData>
  <mergeCells count="72">
    <mergeCell ref="B17:B25"/>
    <mergeCell ref="C17:C20"/>
    <mergeCell ref="D18:D19"/>
    <mergeCell ref="B26:B38"/>
    <mergeCell ref="F2:F6"/>
    <mergeCell ref="F9:F13"/>
    <mergeCell ref="F18:F19"/>
    <mergeCell ref="C26:C28"/>
    <mergeCell ref="C29:C38"/>
    <mergeCell ref="P9:P13"/>
    <mergeCell ref="B2:B16"/>
    <mergeCell ref="C2:C7"/>
    <mergeCell ref="D2:D6"/>
    <mergeCell ref="C8:C16"/>
    <mergeCell ref="D9:D13"/>
    <mergeCell ref="G2:G6"/>
    <mergeCell ref="G9:G13"/>
    <mergeCell ref="AK9:AK13"/>
    <mergeCell ref="T11:T13"/>
    <mergeCell ref="AJ11:AJ13"/>
    <mergeCell ref="D14:D16"/>
    <mergeCell ref="F14:F16"/>
    <mergeCell ref="G14:G16"/>
    <mergeCell ref="L14:L16"/>
    <mergeCell ref="Q9:Q13"/>
    <mergeCell ref="R9:R13"/>
    <mergeCell ref="S9:S13"/>
    <mergeCell ref="U9:U13"/>
    <mergeCell ref="AI9:AI13"/>
    <mergeCell ref="L9:L13"/>
    <mergeCell ref="M9:M13"/>
    <mergeCell ref="N9:N13"/>
    <mergeCell ref="O9:O13"/>
    <mergeCell ref="AI18:AI19"/>
    <mergeCell ref="AK18:AK19"/>
    <mergeCell ref="C21:C25"/>
    <mergeCell ref="D24:D25"/>
    <mergeCell ref="F24:F25"/>
    <mergeCell ref="G24:G25"/>
    <mergeCell ref="G18:G19"/>
    <mergeCell ref="C39:C40"/>
    <mergeCell ref="C41:C42"/>
    <mergeCell ref="B43:B44"/>
    <mergeCell ref="C43:C44"/>
    <mergeCell ref="D43:D44"/>
    <mergeCell ref="B39:B42"/>
    <mergeCell ref="AI43:AI44"/>
    <mergeCell ref="AJ43:AJ44"/>
    <mergeCell ref="B46:B53"/>
    <mergeCell ref="C46:C47"/>
    <mergeCell ref="C48:C53"/>
    <mergeCell ref="F43:F44"/>
    <mergeCell ref="G43:G44"/>
    <mergeCell ref="J43:J44"/>
    <mergeCell ref="M43:M44"/>
    <mergeCell ref="B54:B57"/>
    <mergeCell ref="C55:C57"/>
    <mergeCell ref="B58:B63"/>
    <mergeCell ref="C58:C60"/>
    <mergeCell ref="D58:D60"/>
    <mergeCell ref="T58:T60"/>
    <mergeCell ref="C61:C63"/>
    <mergeCell ref="B64:B66"/>
    <mergeCell ref="C64:C66"/>
    <mergeCell ref="B67:B68"/>
    <mergeCell ref="C67:C68"/>
    <mergeCell ref="E58:E60"/>
    <mergeCell ref="F58:F60"/>
    <mergeCell ref="G58:G60"/>
    <mergeCell ref="J58:J60"/>
    <mergeCell ref="L58:L60"/>
    <mergeCell ref="O58:O60"/>
  </mergeCells>
  <conditionalFormatting sqref="AJ69:AJ1048576">
    <cfRule type="containsText" dxfId="31" priority="230" operator="containsText" text="SAFE">
      <formula>NOT(ISERROR(SEARCH("SAFE",AJ69)))</formula>
    </cfRule>
  </conditionalFormatting>
  <dataValidations count="2">
    <dataValidation allowBlank="1" showErrorMessage="1" error="Sellect from the list" sqref="O65:O68 P25:Q42 P1:Q1 P7:Q7 N2:N7 P47:Q47 P45:Q45 O1:O9 P14:Q20 Q62:R63 Q66:R67 O14:O48 P53:Q65 M57 N25 N32 N39:N40 N46:N48 N53:N60 N62 Q68 O51 O61:O63 O53:O58" xr:uid="{42AA9D3D-61EA-4338-8C17-08D233368B6E}"/>
    <dataValidation type="list" allowBlank="1" showErrorMessage="1" error="Sellect from the list" sqref="K1:K10 K14:K68" xr:uid="{B548297C-D699-4A56-9920-78401419E5EC}">
      <formula1>"Completed,In Progress,Delayed, Pending"</formula1>
    </dataValidation>
  </dataValidations>
  <pageMargins left="0.25" right="0.25" top="0.75" bottom="0.75" header="0.3" footer="0.3"/>
  <pageSetup paperSize="8" scale="17"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7862-E3FF-4E42-9B53-56C3D854C0E4}">
  <sheetPr codeName="Sheet1">
    <tabColor theme="5" tint="-0.249977111117893"/>
    <pageSetUpPr fitToPage="1"/>
  </sheetPr>
  <dimension ref="A1:AM220"/>
  <sheetViews>
    <sheetView tabSelected="1" zoomScale="70" zoomScaleNormal="70" zoomScaleSheetLayoutView="55" workbookViewId="0">
      <pane ySplit="1" topLeftCell="A30" activePane="bottomLeft" state="frozen"/>
      <selection activeCell="U68" sqref="U68"/>
      <selection pane="bottomLeft" activeCell="H41" sqref="H41"/>
    </sheetView>
  </sheetViews>
  <sheetFormatPr defaultColWidth="9.140625" defaultRowHeight="18.75" x14ac:dyDescent="0.25"/>
  <cols>
    <col min="1" max="1" width="11.42578125" style="230" customWidth="1"/>
    <col min="2" max="2" width="20.42578125" style="230" customWidth="1"/>
    <col min="3" max="3" width="9.42578125" style="230" customWidth="1"/>
    <col min="4" max="4" width="29.28515625" style="230" customWidth="1"/>
    <col min="5" max="5" width="26.5703125" style="280" bestFit="1" customWidth="1"/>
    <col min="6" max="6" width="25.7109375" style="256" bestFit="1" customWidth="1"/>
    <col min="7" max="7" width="51.7109375" style="230" bestFit="1" customWidth="1"/>
    <col min="8" max="8" width="54.42578125" style="230" bestFit="1" customWidth="1"/>
    <col min="9" max="9" width="13.5703125" style="230" customWidth="1"/>
    <col min="10" max="10" width="30.28515625" style="257" bestFit="1" customWidth="1"/>
    <col min="11" max="12" width="37" style="257" customWidth="1"/>
    <col min="13" max="13" width="54.85546875" style="257" bestFit="1" customWidth="1"/>
    <col min="14" max="14" width="39.140625" style="258" customWidth="1"/>
    <col min="15" max="15" width="75.5703125" style="258" bestFit="1" customWidth="1"/>
    <col min="16" max="16" width="24.42578125" style="230" customWidth="1"/>
    <col min="17" max="18" width="25.85546875" style="230" customWidth="1"/>
    <col min="19" max="19" width="24.42578125" style="230" customWidth="1"/>
    <col min="20" max="20" width="25.85546875" style="230" customWidth="1"/>
    <col min="21" max="21" width="36.28515625" style="230" customWidth="1"/>
    <col min="22" max="22" width="32.5703125" style="230" bestFit="1" customWidth="1"/>
    <col min="23" max="23" width="35.7109375" style="230" customWidth="1"/>
    <col min="24" max="24" width="36.28515625" style="230" bestFit="1" customWidth="1"/>
    <col min="25" max="25" width="33.140625" style="230" customWidth="1"/>
    <col min="26" max="26" width="33.7109375" style="230" bestFit="1" customWidth="1"/>
    <col min="27" max="27" width="24.42578125" style="230" customWidth="1"/>
    <col min="28" max="28" width="37.5703125" style="230" bestFit="1" customWidth="1"/>
    <col min="29" max="29" width="34.140625" style="230" bestFit="1" customWidth="1"/>
    <col min="30" max="30" width="44.5703125" style="230" bestFit="1" customWidth="1"/>
    <col min="31" max="31" width="36" style="230" bestFit="1" customWidth="1"/>
    <col min="32" max="32" width="33.85546875" style="230" bestFit="1" customWidth="1"/>
    <col min="33" max="33" width="34.7109375" style="230" bestFit="1" customWidth="1"/>
    <col min="34" max="34" width="44" style="230" bestFit="1" customWidth="1"/>
    <col min="35" max="35" width="15.140625" style="230" bestFit="1" customWidth="1"/>
    <col min="36" max="36" width="32.85546875" style="280" bestFit="1" customWidth="1"/>
    <col min="37" max="37" width="43" style="230" bestFit="1" customWidth="1"/>
    <col min="38" max="38" width="44.28515625" style="230" bestFit="1" customWidth="1"/>
    <col min="39" max="39" width="33" style="230" bestFit="1" customWidth="1"/>
    <col min="40" max="16384" width="9.140625" style="230"/>
  </cols>
  <sheetData>
    <row r="1" spans="1:34" ht="24" thickBot="1" x14ac:dyDescent="0.3">
      <c r="A1" s="319" t="s">
        <v>0</v>
      </c>
      <c r="B1" s="1034" t="s">
        <v>19</v>
      </c>
      <c r="C1" s="1035" t="s">
        <v>115</v>
      </c>
      <c r="D1" s="1036" t="s">
        <v>148</v>
      </c>
      <c r="E1" s="1037" t="s">
        <v>150</v>
      </c>
      <c r="F1" s="1038" t="s">
        <v>143</v>
      </c>
      <c r="G1" s="1039" t="s">
        <v>1</v>
      </c>
      <c r="H1" s="1040" t="s">
        <v>2</v>
      </c>
      <c r="I1" s="1041" t="s">
        <v>64</v>
      </c>
      <c r="J1" s="1039" t="s">
        <v>3</v>
      </c>
      <c r="K1" s="1039" t="s">
        <v>4</v>
      </c>
      <c r="L1" s="1039"/>
      <c r="M1" s="1042" t="s">
        <v>126</v>
      </c>
      <c r="N1" s="1043" t="s">
        <v>155</v>
      </c>
      <c r="O1" s="1043" t="s">
        <v>414</v>
      </c>
      <c r="P1" s="977" t="s">
        <v>5</v>
      </c>
      <c r="Q1" s="978" t="s">
        <v>6</v>
      </c>
      <c r="R1" s="1033" t="s">
        <v>7</v>
      </c>
      <c r="S1" s="1054" t="s">
        <v>8</v>
      </c>
      <c r="T1" s="313" t="s">
        <v>9</v>
      </c>
      <c r="U1" s="313" t="s">
        <v>10</v>
      </c>
      <c r="V1" s="1044" t="s">
        <v>11</v>
      </c>
      <c r="W1" s="1044" t="s">
        <v>12</v>
      </c>
      <c r="X1" s="1044" t="s">
        <v>13</v>
      </c>
      <c r="Y1" s="1044" t="s">
        <v>14</v>
      </c>
      <c r="Z1" s="1044" t="s">
        <v>15</v>
      </c>
      <c r="AA1" s="1044" t="s">
        <v>16</v>
      </c>
      <c r="AB1" s="1045" t="s">
        <v>372</v>
      </c>
      <c r="AC1" s="1046">
        <v>2027</v>
      </c>
      <c r="AD1" s="294"/>
      <c r="AE1" s="294"/>
    </row>
    <row r="2" spans="1:34" s="280" customFormat="1" ht="56.25" x14ac:dyDescent="0.25">
      <c r="A2" s="830">
        <v>1</v>
      </c>
      <c r="B2" s="1514" t="s">
        <v>48</v>
      </c>
      <c r="C2" s="1514">
        <v>2025</v>
      </c>
      <c r="D2" s="1511">
        <v>5929</v>
      </c>
      <c r="E2" s="755">
        <v>1921</v>
      </c>
      <c r="F2" s="1497">
        <v>103009</v>
      </c>
      <c r="G2" s="1497" t="s">
        <v>60</v>
      </c>
      <c r="H2" s="47" t="s">
        <v>61</v>
      </c>
      <c r="I2" s="1103">
        <v>3</v>
      </c>
      <c r="J2" s="1135">
        <v>6132000</v>
      </c>
      <c r="K2" s="1135">
        <f t="shared" ref="K2:K33" si="0">J2-SUM(P2:T2)</f>
        <v>0</v>
      </c>
      <c r="L2" s="1135" t="s">
        <v>157</v>
      </c>
      <c r="M2" s="1055" t="s">
        <v>130</v>
      </c>
      <c r="N2" s="904" t="s">
        <v>158</v>
      </c>
      <c r="O2" s="892" t="s">
        <v>427</v>
      </c>
      <c r="P2" s="892"/>
      <c r="Q2" s="915">
        <f>J2</f>
        <v>6132000</v>
      </c>
      <c r="R2" s="811"/>
      <c r="S2" s="811"/>
      <c r="T2" s="811"/>
      <c r="U2" s="811"/>
      <c r="V2" s="811"/>
      <c r="W2" s="811"/>
      <c r="X2" s="811"/>
      <c r="Y2" s="811"/>
      <c r="Z2" s="811"/>
      <c r="AA2" s="812"/>
      <c r="AB2" s="827">
        <f>SUM(P2:AA2)</f>
        <v>6132000</v>
      </c>
      <c r="AC2" s="827">
        <f t="shared" ref="AC2:AC33" si="1">J2-AB2</f>
        <v>0</v>
      </c>
      <c r="AD2" s="914"/>
      <c r="AE2" s="778"/>
    </row>
    <row r="3" spans="1:34" ht="56.25" x14ac:dyDescent="0.25">
      <c r="A3" s="828">
        <v>2</v>
      </c>
      <c r="B3" s="1515"/>
      <c r="C3" s="1515"/>
      <c r="D3" s="1512"/>
      <c r="E3" s="793">
        <v>1923</v>
      </c>
      <c r="F3" s="1498"/>
      <c r="G3" s="1498"/>
      <c r="H3" s="283" t="s">
        <v>65</v>
      </c>
      <c r="I3" s="1104">
        <v>2</v>
      </c>
      <c r="J3" s="1136">
        <v>3160000</v>
      </c>
      <c r="K3" s="1136">
        <f t="shared" si="0"/>
        <v>0</v>
      </c>
      <c r="L3" s="1136" t="s">
        <v>157</v>
      </c>
      <c r="M3" s="1060" t="s">
        <v>130</v>
      </c>
      <c r="N3" s="905" t="s">
        <v>158</v>
      </c>
      <c r="O3" s="893" t="s">
        <v>427</v>
      </c>
      <c r="P3" s="893"/>
      <c r="Q3" s="916">
        <f>J3</f>
        <v>3160000</v>
      </c>
      <c r="R3" s="772"/>
      <c r="S3" s="772"/>
      <c r="T3" s="772"/>
      <c r="U3" s="772"/>
      <c r="V3" s="772"/>
      <c r="W3" s="772"/>
      <c r="X3" s="772"/>
      <c r="Y3" s="772"/>
      <c r="Z3" s="772"/>
      <c r="AA3" s="814"/>
      <c r="AB3" s="789">
        <f t="shared" ref="AB3:AB63" si="2">SUM(P3:AA3)</f>
        <v>3160000</v>
      </c>
      <c r="AC3" s="789">
        <f t="shared" si="1"/>
        <v>0</v>
      </c>
      <c r="AD3" s="914"/>
      <c r="AE3" s="778"/>
      <c r="AF3" s="280"/>
      <c r="AG3" s="280"/>
      <c r="AH3" s="280"/>
    </row>
    <row r="4" spans="1:34" ht="56.25" x14ac:dyDescent="0.25">
      <c r="A4" s="828">
        <v>3</v>
      </c>
      <c r="B4" s="1515"/>
      <c r="C4" s="1515"/>
      <c r="D4" s="1512"/>
      <c r="E4" s="756">
        <v>1924</v>
      </c>
      <c r="F4" s="1498"/>
      <c r="G4" s="1498"/>
      <c r="H4" s="919" t="s">
        <v>66</v>
      </c>
      <c r="I4" s="1105">
        <v>4</v>
      </c>
      <c r="J4" s="1137">
        <v>6501200</v>
      </c>
      <c r="K4" s="1137">
        <f t="shared" si="0"/>
        <v>0</v>
      </c>
      <c r="L4" s="1137" t="s">
        <v>157</v>
      </c>
      <c r="M4" s="794" t="s">
        <v>131</v>
      </c>
      <c r="N4" s="905" t="s">
        <v>158</v>
      </c>
      <c r="O4" s="893" t="s">
        <v>427</v>
      </c>
      <c r="P4" s="893"/>
      <c r="Q4" s="917">
        <f>J4</f>
        <v>6501200</v>
      </c>
      <c r="R4" s="757"/>
      <c r="S4" s="757"/>
      <c r="T4" s="757"/>
      <c r="U4" s="757"/>
      <c r="V4" s="757"/>
      <c r="W4" s="757"/>
      <c r="X4" s="757"/>
      <c r="Y4" s="757"/>
      <c r="Z4" s="757"/>
      <c r="AA4" s="813"/>
      <c r="AB4" s="758">
        <f t="shared" si="2"/>
        <v>6501200</v>
      </c>
      <c r="AC4" s="758">
        <f t="shared" si="1"/>
        <v>0</v>
      </c>
      <c r="AD4" s="914"/>
      <c r="AE4" s="294"/>
    </row>
    <row r="5" spans="1:34" ht="56.25" x14ac:dyDescent="0.25">
      <c r="A5" s="974">
        <v>4</v>
      </c>
      <c r="B5" s="1515"/>
      <c r="C5" s="1515"/>
      <c r="D5" s="1512"/>
      <c r="E5" s="756">
        <v>1922</v>
      </c>
      <c r="F5" s="1498"/>
      <c r="G5" s="1498"/>
      <c r="H5" s="919" t="s">
        <v>67</v>
      </c>
      <c r="I5" s="1105">
        <v>4</v>
      </c>
      <c r="J5" s="1137">
        <v>3520000</v>
      </c>
      <c r="K5" s="1137">
        <f t="shared" si="0"/>
        <v>0</v>
      </c>
      <c r="L5" s="1137" t="s">
        <v>157</v>
      </c>
      <c r="M5" s="794" t="s">
        <v>130</v>
      </c>
      <c r="N5" s="905" t="s">
        <v>158</v>
      </c>
      <c r="O5" s="893" t="s">
        <v>427</v>
      </c>
      <c r="P5" s="893"/>
      <c r="Q5" s="917">
        <f>J5</f>
        <v>3520000</v>
      </c>
      <c r="R5" s="757"/>
      <c r="S5" s="757"/>
      <c r="T5" s="757"/>
      <c r="U5" s="757"/>
      <c r="V5" s="757"/>
      <c r="W5" s="757"/>
      <c r="X5" s="757"/>
      <c r="Y5" s="757"/>
      <c r="Z5" s="757"/>
      <c r="AA5" s="813"/>
      <c r="AB5" s="758">
        <f t="shared" si="2"/>
        <v>3520000</v>
      </c>
      <c r="AC5" s="758">
        <f t="shared" si="1"/>
        <v>0</v>
      </c>
      <c r="AD5" s="914"/>
      <c r="AE5" s="294"/>
    </row>
    <row r="6" spans="1:34" ht="56.25" x14ac:dyDescent="0.25">
      <c r="A6" s="828">
        <v>5</v>
      </c>
      <c r="B6" s="1515"/>
      <c r="C6" s="1515"/>
      <c r="D6" s="1513"/>
      <c r="E6" s="756">
        <v>1920</v>
      </c>
      <c r="F6" s="1499"/>
      <c r="G6" s="1499"/>
      <c r="H6" s="919" t="s">
        <v>68</v>
      </c>
      <c r="I6" s="1105">
        <v>3</v>
      </c>
      <c r="J6" s="1137">
        <v>8982000</v>
      </c>
      <c r="K6" s="1137">
        <f t="shared" si="0"/>
        <v>0</v>
      </c>
      <c r="L6" s="1137" t="s">
        <v>157</v>
      </c>
      <c r="M6" s="794" t="s">
        <v>132</v>
      </c>
      <c r="N6" s="905" t="s">
        <v>158</v>
      </c>
      <c r="O6" s="893" t="s">
        <v>427</v>
      </c>
      <c r="P6" s="893"/>
      <c r="Q6" s="917">
        <f>J6</f>
        <v>8982000</v>
      </c>
      <c r="R6" s="772"/>
      <c r="S6" s="757"/>
      <c r="T6" s="757"/>
      <c r="U6" s="757"/>
      <c r="V6" s="757"/>
      <c r="W6" s="757"/>
      <c r="X6" s="757"/>
      <c r="Y6" s="757"/>
      <c r="Z6" s="757"/>
      <c r="AA6" s="813"/>
      <c r="AB6" s="758">
        <f t="shared" si="2"/>
        <v>8982000</v>
      </c>
      <c r="AC6" s="758">
        <f t="shared" si="1"/>
        <v>0</v>
      </c>
      <c r="AD6" s="914"/>
      <c r="AE6" s="294"/>
    </row>
    <row r="7" spans="1:34" s="280" customFormat="1" x14ac:dyDescent="0.25">
      <c r="A7" s="828">
        <v>6</v>
      </c>
      <c r="B7" s="1515"/>
      <c r="C7" s="1515"/>
      <c r="D7" s="921">
        <v>5818</v>
      </c>
      <c r="E7" s="793">
        <v>1906</v>
      </c>
      <c r="F7" s="922">
        <v>102964</v>
      </c>
      <c r="G7" s="920" t="s">
        <v>58</v>
      </c>
      <c r="H7" s="283" t="s">
        <v>59</v>
      </c>
      <c r="I7" s="1104">
        <v>0</v>
      </c>
      <c r="J7" s="1136">
        <v>605341</v>
      </c>
      <c r="K7" s="1136">
        <f t="shared" si="0"/>
        <v>0</v>
      </c>
      <c r="L7" s="1136" t="s">
        <v>422</v>
      </c>
      <c r="M7" s="1060">
        <v>46190</v>
      </c>
      <c r="N7" s="906" t="s">
        <v>158</v>
      </c>
      <c r="O7" s="894" t="s">
        <v>427</v>
      </c>
      <c r="P7" s="894"/>
      <c r="Q7" s="772"/>
      <c r="R7" s="772"/>
      <c r="S7" s="772"/>
      <c r="T7" s="916">
        <f>J7</f>
        <v>605341</v>
      </c>
      <c r="U7" s="772"/>
      <c r="V7" s="757"/>
      <c r="W7" s="772"/>
      <c r="X7" s="772"/>
      <c r="Y7" s="772"/>
      <c r="Z7" s="772"/>
      <c r="AA7" s="814"/>
      <c r="AB7" s="789">
        <f>SUM(P7:AA7)</f>
        <v>605341</v>
      </c>
      <c r="AC7" s="789">
        <f t="shared" si="1"/>
        <v>0</v>
      </c>
    </row>
    <row r="8" spans="1:34" ht="56.25" x14ac:dyDescent="0.25">
      <c r="A8" s="974">
        <v>7</v>
      </c>
      <c r="B8" s="1515"/>
      <c r="C8" s="1515"/>
      <c r="D8" s="1519">
        <v>4083</v>
      </c>
      <c r="E8" s="793">
        <v>1593</v>
      </c>
      <c r="F8" s="1409"/>
      <c r="G8" s="1404" t="s">
        <v>20</v>
      </c>
      <c r="H8" s="283" t="s">
        <v>69</v>
      </c>
      <c r="I8" s="1104">
        <v>15</v>
      </c>
      <c r="J8" s="1136">
        <f>(2520000+59500)*15</f>
        <v>38692500</v>
      </c>
      <c r="K8" s="1136">
        <f t="shared" si="0"/>
        <v>38692500</v>
      </c>
      <c r="L8" s="1136" t="s">
        <v>157</v>
      </c>
      <c r="M8" s="1372">
        <v>45554</v>
      </c>
      <c r="N8" s="1059" t="s">
        <v>395</v>
      </c>
      <c r="O8" s="894" t="s">
        <v>428</v>
      </c>
      <c r="P8" s="894"/>
      <c r="Q8" s="772"/>
      <c r="R8" s="772"/>
      <c r="S8" s="757"/>
      <c r="T8" s="757"/>
      <c r="U8" s="772"/>
      <c r="V8" s="772">
        <f>J8/15*1</f>
        <v>2579500</v>
      </c>
      <c r="W8" s="772">
        <f>J8/15*4</f>
        <v>10318000</v>
      </c>
      <c r="X8" s="1219">
        <f>J8/15*10</f>
        <v>25795000</v>
      </c>
      <c r="Y8" s="772"/>
      <c r="Z8" s="772"/>
      <c r="AA8" s="814"/>
      <c r="AB8" s="789">
        <f t="shared" si="2"/>
        <v>38692500</v>
      </c>
      <c r="AC8" s="789">
        <f t="shared" si="1"/>
        <v>0</v>
      </c>
      <c r="AD8" s="294"/>
      <c r="AE8" s="294"/>
    </row>
    <row r="9" spans="1:34" ht="37.5" x14ac:dyDescent="0.25">
      <c r="A9" s="828">
        <v>8</v>
      </c>
      <c r="B9" s="1515"/>
      <c r="C9" s="1515"/>
      <c r="D9" s="1520"/>
      <c r="E9" s="756">
        <v>1589</v>
      </c>
      <c r="F9" s="1410"/>
      <c r="G9" s="1405"/>
      <c r="H9" s="1213" t="s">
        <v>70</v>
      </c>
      <c r="I9" s="1105">
        <v>6</v>
      </c>
      <c r="J9" s="1137">
        <f>(1394000+41350+122550+118750+85000)*6</f>
        <v>10569900</v>
      </c>
      <c r="K9" s="1137">
        <f t="shared" si="0"/>
        <v>10569900</v>
      </c>
      <c r="L9" s="1137" t="s">
        <v>157</v>
      </c>
      <c r="M9" s="1372"/>
      <c r="N9" s="1430" t="s">
        <v>395</v>
      </c>
      <c r="O9" s="894" t="s">
        <v>450</v>
      </c>
      <c r="P9" s="894"/>
      <c r="Q9" s="757"/>
      <c r="R9" s="757"/>
      <c r="S9" s="772"/>
      <c r="T9" s="772"/>
      <c r="U9" s="772"/>
      <c r="V9" s="757">
        <f>J9/6*3</f>
        <v>5284950</v>
      </c>
      <c r="W9" s="950">
        <f>J9/6*3</f>
        <v>5284950</v>
      </c>
      <c r="X9" s="757"/>
      <c r="Y9" s="757"/>
      <c r="Z9" s="757"/>
      <c r="AA9" s="814"/>
      <c r="AB9" s="758">
        <f t="shared" si="2"/>
        <v>10569900</v>
      </c>
      <c r="AC9" s="758">
        <f t="shared" si="1"/>
        <v>0</v>
      </c>
      <c r="AD9" s="294"/>
      <c r="AE9" s="294"/>
    </row>
    <row r="10" spans="1:34" x14ac:dyDescent="0.25">
      <c r="A10" s="828">
        <v>9</v>
      </c>
      <c r="B10" s="1515"/>
      <c r="C10" s="1515"/>
      <c r="D10" s="1520"/>
      <c r="E10" s="1446"/>
      <c r="F10" s="1410"/>
      <c r="G10" s="1405"/>
      <c r="H10" s="1213" t="s">
        <v>27</v>
      </c>
      <c r="I10" s="1105">
        <v>1</v>
      </c>
      <c r="J10" s="1137">
        <f>126500</f>
        <v>126500</v>
      </c>
      <c r="K10" s="1137">
        <f t="shared" si="0"/>
        <v>126500</v>
      </c>
      <c r="L10" s="1137" t="s">
        <v>157</v>
      </c>
      <c r="M10" s="1372"/>
      <c r="N10" s="1431"/>
      <c r="O10" s="894"/>
      <c r="P10" s="894"/>
      <c r="Q10" s="757"/>
      <c r="R10" s="772"/>
      <c r="S10" s="772"/>
      <c r="T10" s="772"/>
      <c r="U10" s="757"/>
      <c r="V10" s="757"/>
      <c r="W10" s="757"/>
      <c r="X10" s="757">
        <f>J10</f>
        <v>126500</v>
      </c>
      <c r="Y10" s="757"/>
      <c r="Z10" s="757"/>
      <c r="AA10" s="813"/>
      <c r="AB10" s="758">
        <f t="shared" si="2"/>
        <v>126500</v>
      </c>
      <c r="AC10" s="758">
        <f t="shared" si="1"/>
        <v>0</v>
      </c>
      <c r="AD10" s="294"/>
      <c r="AE10" s="294"/>
    </row>
    <row r="11" spans="1:34" x14ac:dyDescent="0.25">
      <c r="A11" s="974">
        <v>10</v>
      </c>
      <c r="B11" s="1515"/>
      <c r="C11" s="1515"/>
      <c r="D11" s="1520"/>
      <c r="E11" s="1447"/>
      <c r="F11" s="1410"/>
      <c r="G11" s="1405"/>
      <c r="H11" s="1213" t="s">
        <v>21</v>
      </c>
      <c r="I11" s="1105">
        <v>1</v>
      </c>
      <c r="J11" s="1137">
        <f>1080000</f>
        <v>1080000</v>
      </c>
      <c r="K11" s="1137">
        <f t="shared" si="0"/>
        <v>1080000</v>
      </c>
      <c r="L11" s="1137" t="s">
        <v>157</v>
      </c>
      <c r="M11" s="1372"/>
      <c r="N11" s="1431"/>
      <c r="O11" s="894"/>
      <c r="P11" s="894"/>
      <c r="Q11" s="757"/>
      <c r="R11" s="772"/>
      <c r="S11" s="772"/>
      <c r="T11" s="772"/>
      <c r="U11" s="757"/>
      <c r="V11" s="757"/>
      <c r="W11" s="757"/>
      <c r="X11" s="757">
        <f>J11</f>
        <v>1080000</v>
      </c>
      <c r="Y11" s="757"/>
      <c r="Z11" s="757"/>
      <c r="AA11" s="813"/>
      <c r="AB11" s="758">
        <f t="shared" si="2"/>
        <v>1080000</v>
      </c>
      <c r="AC11" s="758">
        <f t="shared" si="1"/>
        <v>0</v>
      </c>
      <c r="AD11" s="294"/>
      <c r="AE11" s="294"/>
    </row>
    <row r="12" spans="1:34" ht="19.5" thickBot="1" x14ac:dyDescent="0.3">
      <c r="A12" s="829">
        <v>11</v>
      </c>
      <c r="B12" s="1516"/>
      <c r="C12" s="1516"/>
      <c r="D12" s="1521"/>
      <c r="E12" s="1448"/>
      <c r="F12" s="1411"/>
      <c r="G12" s="1406"/>
      <c r="H12" s="852" t="s">
        <v>22</v>
      </c>
      <c r="I12" s="1106">
        <v>1</v>
      </c>
      <c r="J12" s="1138">
        <f>4200000</f>
        <v>4200000</v>
      </c>
      <c r="K12" s="1138">
        <f t="shared" si="0"/>
        <v>4200000</v>
      </c>
      <c r="L12" s="1138" t="s">
        <v>157</v>
      </c>
      <c r="M12" s="1403"/>
      <c r="N12" s="1432"/>
      <c r="O12" s="895"/>
      <c r="P12" s="895"/>
      <c r="Q12" s="854"/>
      <c r="R12" s="853"/>
      <c r="S12" s="853"/>
      <c r="T12" s="853"/>
      <c r="U12" s="854"/>
      <c r="V12" s="757"/>
      <c r="W12" s="854"/>
      <c r="X12" s="854">
        <f>J12</f>
        <v>4200000</v>
      </c>
      <c r="Y12" s="854"/>
      <c r="Z12" s="854"/>
      <c r="AA12" s="855"/>
      <c r="AB12" s="856">
        <f t="shared" si="2"/>
        <v>4200000</v>
      </c>
      <c r="AC12" s="856">
        <f t="shared" si="1"/>
        <v>0</v>
      </c>
      <c r="AD12" s="294"/>
      <c r="AE12" s="294"/>
    </row>
    <row r="13" spans="1:34" s="280" customFormat="1" ht="37.5" x14ac:dyDescent="0.25">
      <c r="A13" s="830">
        <v>12</v>
      </c>
      <c r="B13" s="1523" t="s">
        <v>362</v>
      </c>
      <c r="C13" s="1523">
        <v>2025</v>
      </c>
      <c r="D13" s="761">
        <v>7259</v>
      </c>
      <c r="E13" s="762" t="s">
        <v>361</v>
      </c>
      <c r="F13" s="763" t="s">
        <v>360</v>
      </c>
      <c r="G13" s="1052" t="s">
        <v>357</v>
      </c>
      <c r="H13" s="1053" t="s">
        <v>358</v>
      </c>
      <c r="I13" s="1107">
        <v>2</v>
      </c>
      <c r="J13" s="430">
        <v>6785000</v>
      </c>
      <c r="K13" s="430">
        <f t="shared" si="0"/>
        <v>6785000</v>
      </c>
      <c r="L13" s="430" t="s">
        <v>422</v>
      </c>
      <c r="M13" s="430" t="s">
        <v>359</v>
      </c>
      <c r="N13" s="1167" t="s">
        <v>274</v>
      </c>
      <c r="O13" s="840" t="s">
        <v>429</v>
      </c>
      <c r="P13" s="840"/>
      <c r="Q13" s="790"/>
      <c r="R13" s="790"/>
      <c r="S13" s="847"/>
      <c r="T13" s="790"/>
      <c r="U13" s="790"/>
      <c r="V13" s="790"/>
      <c r="W13" s="840"/>
      <c r="X13" s="790"/>
      <c r="Y13" s="790"/>
      <c r="Z13" s="790"/>
      <c r="AA13" s="815"/>
      <c r="AB13" s="1073">
        <f t="shared" si="2"/>
        <v>0</v>
      </c>
      <c r="AC13" s="1067">
        <f t="shared" si="1"/>
        <v>6785000</v>
      </c>
      <c r="AD13" s="751"/>
      <c r="AE13" s="751"/>
    </row>
    <row r="14" spans="1:34" s="280" customFormat="1" ht="18.75" customHeight="1" x14ac:dyDescent="0.25">
      <c r="A14" s="974">
        <v>13</v>
      </c>
      <c r="B14" s="1524"/>
      <c r="C14" s="1524"/>
      <c r="D14" s="1555"/>
      <c r="E14" s="1455">
        <v>2071</v>
      </c>
      <c r="F14" s="1457" t="s">
        <v>454</v>
      </c>
      <c r="G14" s="1407" t="s">
        <v>355</v>
      </c>
      <c r="H14" s="1005" t="s">
        <v>353</v>
      </c>
      <c r="I14" s="1108">
        <v>6</v>
      </c>
      <c r="J14" s="851">
        <v>3216000</v>
      </c>
      <c r="K14" s="851">
        <f t="shared" si="0"/>
        <v>0</v>
      </c>
      <c r="L14" s="851" t="s">
        <v>422</v>
      </c>
      <c r="M14" s="1444">
        <v>46113</v>
      </c>
      <c r="N14" s="844" t="s">
        <v>158</v>
      </c>
      <c r="O14" s="841" t="s">
        <v>427</v>
      </c>
      <c r="P14" s="841"/>
      <c r="Q14" s="760"/>
      <c r="R14" s="760"/>
      <c r="S14" s="1064"/>
      <c r="T14" s="916">
        <f>J14</f>
        <v>3216000</v>
      </c>
      <c r="U14" s="760"/>
      <c r="V14" s="760"/>
      <c r="W14" s="841"/>
      <c r="X14" s="759"/>
      <c r="Y14" s="759"/>
      <c r="Z14" s="759"/>
      <c r="AA14" s="816"/>
      <c r="AB14" s="1074">
        <f t="shared" si="2"/>
        <v>3216000</v>
      </c>
      <c r="AC14" s="1068">
        <f t="shared" si="1"/>
        <v>0</v>
      </c>
      <c r="AD14" s="752"/>
      <c r="AE14" s="752"/>
    </row>
    <row r="15" spans="1:34" s="280" customFormat="1" ht="37.5" x14ac:dyDescent="0.25">
      <c r="A15" s="828">
        <v>14</v>
      </c>
      <c r="B15" s="1524"/>
      <c r="C15" s="1524"/>
      <c r="D15" s="1556"/>
      <c r="E15" s="1456"/>
      <c r="F15" s="1458"/>
      <c r="G15" s="1408"/>
      <c r="H15" s="1005" t="s">
        <v>356</v>
      </c>
      <c r="I15" s="1108">
        <v>6</v>
      </c>
      <c r="J15" s="851">
        <f>150000+2500</f>
        <v>152500</v>
      </c>
      <c r="K15" s="851">
        <f t="shared" si="0"/>
        <v>0</v>
      </c>
      <c r="L15" s="851" t="s">
        <v>422</v>
      </c>
      <c r="M15" s="1445"/>
      <c r="N15" s="844" t="s">
        <v>158</v>
      </c>
      <c r="O15" s="841" t="s">
        <v>427</v>
      </c>
      <c r="P15" s="841"/>
      <c r="Q15" s="783"/>
      <c r="R15" s="760"/>
      <c r="S15" s="1064"/>
      <c r="T15" s="916">
        <f>J15</f>
        <v>152500</v>
      </c>
      <c r="U15" s="760"/>
      <c r="V15" s="760"/>
      <c r="W15" s="841"/>
      <c r="X15" s="759"/>
      <c r="Y15" s="759"/>
      <c r="Z15" s="759"/>
      <c r="AA15" s="816"/>
      <c r="AB15" s="1074">
        <f t="shared" si="2"/>
        <v>152500</v>
      </c>
      <c r="AC15" s="1068">
        <f t="shared" si="1"/>
        <v>0</v>
      </c>
      <c r="AD15" s="752"/>
      <c r="AE15" s="752"/>
    </row>
    <row r="16" spans="1:34" s="280" customFormat="1" ht="18.75" customHeight="1" x14ac:dyDescent="0.25">
      <c r="A16" s="828">
        <v>15</v>
      </c>
      <c r="B16" s="1524"/>
      <c r="C16" s="1524"/>
      <c r="D16" s="1505">
        <v>6151</v>
      </c>
      <c r="E16" s="831">
        <v>1985</v>
      </c>
      <c r="F16" s="1451">
        <v>103084</v>
      </c>
      <c r="G16" s="1453" t="s">
        <v>123</v>
      </c>
      <c r="H16" s="84" t="s">
        <v>124</v>
      </c>
      <c r="I16" s="1109">
        <v>2</v>
      </c>
      <c r="J16" s="1139">
        <f>2787000</f>
        <v>2787000</v>
      </c>
      <c r="K16" s="1139">
        <f t="shared" si="0"/>
        <v>2787000</v>
      </c>
      <c r="L16" s="1139"/>
      <c r="M16" s="1170">
        <v>46050</v>
      </c>
      <c r="N16" s="844" t="s">
        <v>156</v>
      </c>
      <c r="O16" s="842" t="s">
        <v>430</v>
      </c>
      <c r="P16" s="842"/>
      <c r="Q16" s="760"/>
      <c r="R16" s="760"/>
      <c r="S16" s="1064"/>
      <c r="T16" s="760"/>
      <c r="U16" s="760"/>
      <c r="V16" s="760"/>
      <c r="W16" s="760">
        <f>J16</f>
        <v>2787000</v>
      </c>
      <c r="X16" s="760"/>
      <c r="Y16" s="760"/>
      <c r="Z16" s="760"/>
      <c r="AA16" s="817"/>
      <c r="AB16" s="1074">
        <f t="shared" si="2"/>
        <v>2787000</v>
      </c>
      <c r="AC16" s="1068">
        <f t="shared" si="1"/>
        <v>0</v>
      </c>
      <c r="AD16" s="749"/>
      <c r="AE16" s="749"/>
    </row>
    <row r="17" spans="1:31" s="280" customFormat="1" ht="18.75" customHeight="1" x14ac:dyDescent="0.25">
      <c r="A17" s="974">
        <v>16</v>
      </c>
      <c r="B17" s="1524"/>
      <c r="C17" s="1524"/>
      <c r="D17" s="1506"/>
      <c r="E17" s="831">
        <v>1984</v>
      </c>
      <c r="F17" s="1452"/>
      <c r="G17" s="1454"/>
      <c r="H17" s="84" t="s">
        <v>125</v>
      </c>
      <c r="I17" s="1109">
        <v>3</v>
      </c>
      <c r="J17" s="1139">
        <f>4761900</f>
        <v>4761900</v>
      </c>
      <c r="K17" s="1139">
        <f t="shared" si="0"/>
        <v>4761900</v>
      </c>
      <c r="L17" s="1139"/>
      <c r="M17" s="794">
        <v>46050</v>
      </c>
      <c r="N17" s="844" t="s">
        <v>156</v>
      </c>
      <c r="O17" s="842" t="s">
        <v>430</v>
      </c>
      <c r="P17" s="842"/>
      <c r="Q17" s="760"/>
      <c r="R17" s="760"/>
      <c r="S17" s="1064"/>
      <c r="T17" s="760"/>
      <c r="U17" s="760"/>
      <c r="V17" s="760"/>
      <c r="W17" s="760">
        <f>J17</f>
        <v>4761900</v>
      </c>
      <c r="X17" s="760"/>
      <c r="Y17" s="760"/>
      <c r="Z17" s="760"/>
      <c r="AA17" s="817"/>
      <c r="AB17" s="1074">
        <f t="shared" si="2"/>
        <v>4761900</v>
      </c>
      <c r="AC17" s="1068">
        <f t="shared" si="1"/>
        <v>0</v>
      </c>
      <c r="AD17" s="749"/>
      <c r="AE17" s="749"/>
    </row>
    <row r="18" spans="1:31" s="280" customFormat="1" ht="18.75" customHeight="1" x14ac:dyDescent="0.25">
      <c r="A18" s="828">
        <v>17</v>
      </c>
      <c r="B18" s="1524"/>
      <c r="C18" s="1524"/>
      <c r="D18" s="1166"/>
      <c r="E18" s="1182">
        <v>2016</v>
      </c>
      <c r="F18" s="1172">
        <v>103165</v>
      </c>
      <c r="G18" s="1173" t="s">
        <v>123</v>
      </c>
      <c r="H18" s="1062" t="s">
        <v>353</v>
      </c>
      <c r="I18" s="1110">
        <v>1</v>
      </c>
      <c r="J18" s="1140">
        <f>633000</f>
        <v>633000</v>
      </c>
      <c r="K18" s="1140">
        <f t="shared" si="0"/>
        <v>633000</v>
      </c>
      <c r="L18" s="1140" t="s">
        <v>422</v>
      </c>
      <c r="M18" s="1164">
        <v>45889</v>
      </c>
      <c r="N18" s="844" t="s">
        <v>156</v>
      </c>
      <c r="O18" s="843" t="s">
        <v>431</v>
      </c>
      <c r="P18" s="843"/>
      <c r="Q18" s="783"/>
      <c r="R18" s="783"/>
      <c r="S18" s="1064"/>
      <c r="T18" s="760"/>
      <c r="U18" s="783">
        <f>J18</f>
        <v>633000</v>
      </c>
      <c r="V18" s="760"/>
      <c r="W18" s="843"/>
      <c r="X18" s="759"/>
      <c r="Y18" s="759"/>
      <c r="Z18" s="759"/>
      <c r="AA18" s="816"/>
      <c r="AB18" s="1075">
        <f t="shared" si="2"/>
        <v>633000</v>
      </c>
      <c r="AC18" s="1069">
        <f t="shared" si="1"/>
        <v>0</v>
      </c>
      <c r="AD18" s="749"/>
      <c r="AE18" s="749"/>
    </row>
    <row r="19" spans="1:31" s="280" customFormat="1" ht="112.5" x14ac:dyDescent="0.25">
      <c r="A19" s="828">
        <v>18</v>
      </c>
      <c r="B19" s="1524"/>
      <c r="C19" s="1524"/>
      <c r="D19" s="270">
        <v>6052</v>
      </c>
      <c r="E19" s="795">
        <v>1938</v>
      </c>
      <c r="F19" s="764">
        <v>103055</v>
      </c>
      <c r="G19" s="753" t="s">
        <v>116</v>
      </c>
      <c r="H19" s="84" t="s">
        <v>391</v>
      </c>
      <c r="I19" s="1109">
        <v>19</v>
      </c>
      <c r="J19" s="1139">
        <v>9215000</v>
      </c>
      <c r="K19" s="1139">
        <f t="shared" si="0"/>
        <v>9215000</v>
      </c>
      <c r="L19" s="1139" t="s">
        <v>422</v>
      </c>
      <c r="M19" s="409" t="s">
        <v>129</v>
      </c>
      <c r="N19" s="845" t="s">
        <v>156</v>
      </c>
      <c r="O19" s="842" t="s">
        <v>432</v>
      </c>
      <c r="P19" s="842"/>
      <c r="Q19" s="760"/>
      <c r="R19" s="760"/>
      <c r="S19" s="1064"/>
      <c r="T19" s="760"/>
      <c r="U19" s="760"/>
      <c r="V19" s="760">
        <f>K19/19*10</f>
        <v>4850000</v>
      </c>
      <c r="W19" s="760">
        <f>K19/19*9</f>
        <v>4365000</v>
      </c>
      <c r="X19" s="760"/>
      <c r="Y19" s="760"/>
      <c r="Z19" s="760"/>
      <c r="AA19" s="817"/>
      <c r="AB19" s="1074">
        <f t="shared" si="2"/>
        <v>9215000</v>
      </c>
      <c r="AC19" s="1068">
        <f t="shared" si="1"/>
        <v>0</v>
      </c>
      <c r="AD19" s="778"/>
      <c r="AE19" s="778"/>
    </row>
    <row r="20" spans="1:31" s="280" customFormat="1" ht="36.75" customHeight="1" thickBot="1" x14ac:dyDescent="0.3">
      <c r="A20" s="1031">
        <v>19</v>
      </c>
      <c r="B20" s="1524"/>
      <c r="C20" s="1525"/>
      <c r="D20" s="806">
        <v>4109</v>
      </c>
      <c r="E20" s="1175" t="s">
        <v>145</v>
      </c>
      <c r="F20" s="807">
        <v>102412</v>
      </c>
      <c r="G20" s="808" t="s">
        <v>29</v>
      </c>
      <c r="H20" s="1214" t="s">
        <v>30</v>
      </c>
      <c r="I20" s="1111">
        <v>2</v>
      </c>
      <c r="J20" s="1141">
        <f>2039069</f>
        <v>2039069</v>
      </c>
      <c r="K20" s="1141">
        <f t="shared" si="0"/>
        <v>2039069</v>
      </c>
      <c r="L20" s="1141"/>
      <c r="M20" s="1171">
        <v>45538</v>
      </c>
      <c r="N20" s="846" t="s">
        <v>156</v>
      </c>
      <c r="O20" s="838" t="s">
        <v>455</v>
      </c>
      <c r="P20" s="838"/>
      <c r="Q20" s="809"/>
      <c r="R20" s="809"/>
      <c r="S20" s="1065"/>
      <c r="T20" s="809"/>
      <c r="U20" s="838"/>
      <c r="V20" s="1215">
        <f>J20</f>
        <v>2039069</v>
      </c>
      <c r="W20" s="838"/>
      <c r="X20" s="809"/>
      <c r="Y20" s="809"/>
      <c r="Z20" s="809"/>
      <c r="AA20" s="818"/>
      <c r="AB20" s="1076">
        <f t="shared" si="2"/>
        <v>2039069</v>
      </c>
      <c r="AC20" s="1070">
        <f t="shared" si="1"/>
        <v>0</v>
      </c>
      <c r="AD20" s="749"/>
      <c r="AE20" s="749"/>
    </row>
    <row r="21" spans="1:31" s="280" customFormat="1" ht="24" customHeight="1" x14ac:dyDescent="0.25">
      <c r="A21" s="830">
        <v>20</v>
      </c>
      <c r="B21" s="1524"/>
      <c r="C21" s="1523">
        <v>2026</v>
      </c>
      <c r="D21" s="1557" t="s">
        <v>402</v>
      </c>
      <c r="E21" s="762">
        <v>2129</v>
      </c>
      <c r="F21" s="1449">
        <v>103453</v>
      </c>
      <c r="G21" s="1459" t="s">
        <v>379</v>
      </c>
      <c r="H21" s="81" t="s">
        <v>353</v>
      </c>
      <c r="I21" s="1112">
        <v>1</v>
      </c>
      <c r="J21" s="1142">
        <v>1111150</v>
      </c>
      <c r="K21" s="1142">
        <f t="shared" si="0"/>
        <v>1111150</v>
      </c>
      <c r="L21" s="1142" t="s">
        <v>422</v>
      </c>
      <c r="M21" s="1442">
        <v>46422</v>
      </c>
      <c r="N21" s="1437" t="s">
        <v>156</v>
      </c>
      <c r="O21" s="1436" t="s">
        <v>434</v>
      </c>
      <c r="P21" s="840"/>
      <c r="Q21" s="790"/>
      <c r="R21" s="847"/>
      <c r="S21" s="847"/>
      <c r="T21" s="790"/>
      <c r="U21" s="790"/>
      <c r="V21" s="790"/>
      <c r="W21" s="840"/>
      <c r="X21" s="790"/>
      <c r="Y21" s="790"/>
      <c r="Z21" s="790"/>
      <c r="AA21" s="815"/>
      <c r="AB21" s="1183">
        <f>SUM(P22:AA22)</f>
        <v>0</v>
      </c>
      <c r="AC21" s="1183">
        <f t="shared" si="1"/>
        <v>1111150</v>
      </c>
      <c r="AD21" s="778"/>
      <c r="AE21" s="778"/>
    </row>
    <row r="22" spans="1:31" s="280" customFormat="1" ht="74.25" customHeight="1" x14ac:dyDescent="0.25">
      <c r="A22" s="828">
        <v>21</v>
      </c>
      <c r="B22" s="1524"/>
      <c r="C22" s="1524"/>
      <c r="D22" s="1506"/>
      <c r="E22" s="831">
        <v>2130</v>
      </c>
      <c r="F22" s="1450"/>
      <c r="G22" s="1460"/>
      <c r="H22" s="84" t="s">
        <v>354</v>
      </c>
      <c r="I22" s="1109">
        <v>1</v>
      </c>
      <c r="J22" s="1143">
        <v>866580</v>
      </c>
      <c r="K22" s="1143">
        <f t="shared" si="0"/>
        <v>866580</v>
      </c>
      <c r="L22" s="1143" t="s">
        <v>422</v>
      </c>
      <c r="M22" s="1443"/>
      <c r="N22" s="1438"/>
      <c r="O22" s="1435"/>
      <c r="P22" s="841"/>
      <c r="Q22" s="759"/>
      <c r="R22" s="760"/>
      <c r="S22" s="1066"/>
      <c r="T22" s="759"/>
      <c r="U22" s="759"/>
      <c r="V22" s="759"/>
      <c r="W22" s="841"/>
      <c r="X22" s="759"/>
      <c r="Y22" s="759"/>
      <c r="Z22" s="759"/>
      <c r="AA22" s="816"/>
      <c r="AB22" s="1072">
        <f>SUM(P22:AA22)</f>
        <v>0</v>
      </c>
      <c r="AC22" s="1072">
        <f t="shared" si="1"/>
        <v>866580</v>
      </c>
      <c r="AD22" s="778"/>
      <c r="AE22" s="778"/>
    </row>
    <row r="23" spans="1:31" s="280" customFormat="1" ht="74.25" customHeight="1" x14ac:dyDescent="0.25">
      <c r="A23" s="986">
        <v>22</v>
      </c>
      <c r="B23" s="1524"/>
      <c r="C23" s="1524"/>
      <c r="D23" s="1180" t="s">
        <v>416</v>
      </c>
      <c r="E23" s="831"/>
      <c r="F23" s="1174"/>
      <c r="G23" s="1176" t="s">
        <v>417</v>
      </c>
      <c r="H23" s="753" t="s">
        <v>418</v>
      </c>
      <c r="I23" s="1109">
        <v>1</v>
      </c>
      <c r="J23" s="1143">
        <v>1009023.71</v>
      </c>
      <c r="K23" s="1143">
        <f t="shared" si="0"/>
        <v>0</v>
      </c>
      <c r="L23" s="1143" t="s">
        <v>422</v>
      </c>
      <c r="M23" s="1178"/>
      <c r="N23" s="1063" t="s">
        <v>158</v>
      </c>
      <c r="O23" s="841"/>
      <c r="P23" s="841"/>
      <c r="Q23" s="759"/>
      <c r="R23" s="760">
        <f>J23</f>
        <v>1009023.71</v>
      </c>
      <c r="S23" s="1066"/>
      <c r="T23" s="759"/>
      <c r="U23" s="841"/>
      <c r="V23" s="759"/>
      <c r="W23" s="841"/>
      <c r="X23" s="759"/>
      <c r="Y23" s="759"/>
      <c r="Z23" s="759"/>
      <c r="AA23" s="816"/>
      <c r="AB23" s="1072">
        <f>SUM(P23:AA23)</f>
        <v>1009023.71</v>
      </c>
      <c r="AC23" s="1072">
        <f t="shared" si="1"/>
        <v>0</v>
      </c>
      <c r="AD23" s="778"/>
      <c r="AE23" s="778"/>
    </row>
    <row r="24" spans="1:31" s="280" customFormat="1" ht="38.25" thickBot="1" x14ac:dyDescent="0.3">
      <c r="A24" s="829">
        <v>23</v>
      </c>
      <c r="B24" s="1524"/>
      <c r="C24" s="1524"/>
      <c r="D24" s="270">
        <v>9008</v>
      </c>
      <c r="E24" s="831">
        <v>2135</v>
      </c>
      <c r="F24" s="1185">
        <v>103416</v>
      </c>
      <c r="G24" s="84" t="s">
        <v>380</v>
      </c>
      <c r="H24" s="753" t="s">
        <v>353</v>
      </c>
      <c r="I24" s="1109">
        <v>50</v>
      </c>
      <c r="J24" s="1139">
        <v>17137500</v>
      </c>
      <c r="K24" s="1139">
        <f t="shared" si="0"/>
        <v>17137500</v>
      </c>
      <c r="L24" s="1139" t="s">
        <v>422</v>
      </c>
      <c r="M24" s="470">
        <v>46543</v>
      </c>
      <c r="N24" s="1063" t="s">
        <v>156</v>
      </c>
      <c r="O24" s="842" t="s">
        <v>435</v>
      </c>
      <c r="P24" s="842"/>
      <c r="Q24" s="760"/>
      <c r="R24" s="1064"/>
      <c r="S24" s="1064"/>
      <c r="T24" s="760"/>
      <c r="U24" s="842"/>
      <c r="V24" s="842"/>
      <c r="W24" s="1217">
        <f>J24/50*15</f>
        <v>5141250</v>
      </c>
      <c r="X24" s="1220">
        <f>J24/50*15</f>
        <v>5141250</v>
      </c>
      <c r="Y24" s="1217">
        <f>J24/50*20</f>
        <v>6855000</v>
      </c>
      <c r="Z24" s="760"/>
      <c r="AA24" s="817"/>
      <c r="AB24" s="1072">
        <f t="shared" si="2"/>
        <v>17137500</v>
      </c>
      <c r="AC24" s="1072">
        <f t="shared" si="1"/>
        <v>0</v>
      </c>
      <c r="AD24" s="778"/>
      <c r="AE24" s="778"/>
    </row>
    <row r="25" spans="1:31" s="280" customFormat="1" ht="18.75" customHeight="1" x14ac:dyDescent="0.25">
      <c r="A25" s="1031">
        <v>24</v>
      </c>
      <c r="B25" s="1524"/>
      <c r="C25" s="1524"/>
      <c r="D25" s="1522" t="s">
        <v>404</v>
      </c>
      <c r="E25" s="1517" t="s">
        <v>423</v>
      </c>
      <c r="F25" s="1517">
        <v>103486</v>
      </c>
      <c r="G25" s="1518" t="s">
        <v>405</v>
      </c>
      <c r="H25" s="1071" t="s">
        <v>406</v>
      </c>
      <c r="I25" s="1113">
        <v>4</v>
      </c>
      <c r="J25" s="851">
        <v>2289600</v>
      </c>
      <c r="K25" s="851">
        <f t="shared" si="0"/>
        <v>2289600</v>
      </c>
      <c r="L25" s="1139" t="s">
        <v>422</v>
      </c>
      <c r="M25" s="1169">
        <v>46479</v>
      </c>
      <c r="N25" s="1168" t="s">
        <v>156</v>
      </c>
      <c r="O25" s="1433" t="s">
        <v>436</v>
      </c>
      <c r="P25" s="841"/>
      <c r="Q25" s="759"/>
      <c r="R25" s="841"/>
      <c r="S25" s="1047"/>
      <c r="T25" s="759"/>
      <c r="U25" s="759"/>
      <c r="V25" s="759"/>
      <c r="W25" s="759"/>
      <c r="X25" s="759"/>
      <c r="Y25" s="759"/>
      <c r="Z25" s="759"/>
      <c r="AA25" s="816"/>
      <c r="AB25" s="1184">
        <f t="shared" si="2"/>
        <v>0</v>
      </c>
      <c r="AC25" s="1184">
        <f t="shared" si="1"/>
        <v>2289600</v>
      </c>
      <c r="AD25" s="778"/>
      <c r="AE25" s="778"/>
    </row>
    <row r="26" spans="1:31" s="280" customFormat="1" ht="18.75" customHeight="1" x14ac:dyDescent="0.25">
      <c r="A26" s="1031">
        <v>25</v>
      </c>
      <c r="B26" s="1524"/>
      <c r="C26" s="1524"/>
      <c r="D26" s="1522"/>
      <c r="E26" s="1517"/>
      <c r="F26" s="1517"/>
      <c r="G26" s="1518"/>
      <c r="H26" s="753" t="s">
        <v>407</v>
      </c>
      <c r="I26" s="1109">
        <v>3</v>
      </c>
      <c r="J26" s="1139">
        <v>6180000</v>
      </c>
      <c r="K26" s="1139">
        <f t="shared" si="0"/>
        <v>6180000</v>
      </c>
      <c r="L26" s="1139" t="s">
        <v>422</v>
      </c>
      <c r="M26" s="470">
        <v>46479</v>
      </c>
      <c r="N26" s="1177" t="s">
        <v>156</v>
      </c>
      <c r="O26" s="1434"/>
      <c r="P26" s="842"/>
      <c r="Q26" s="760"/>
      <c r="R26" s="842"/>
      <c r="S26" s="1064"/>
      <c r="T26" s="760"/>
      <c r="U26" s="760"/>
      <c r="V26" s="760"/>
      <c r="W26" s="842"/>
      <c r="X26" s="760"/>
      <c r="Y26" s="760"/>
      <c r="Z26" s="760"/>
      <c r="AA26" s="817"/>
      <c r="AB26" s="1068">
        <f t="shared" si="2"/>
        <v>0</v>
      </c>
      <c r="AC26" s="1068">
        <f t="shared" si="1"/>
        <v>6180000</v>
      </c>
      <c r="AD26" s="778"/>
      <c r="AE26" s="778"/>
    </row>
    <row r="27" spans="1:31" s="280" customFormat="1" ht="18.75" customHeight="1" x14ac:dyDescent="0.25">
      <c r="A27" s="1031">
        <v>26</v>
      </c>
      <c r="B27" s="1524"/>
      <c r="C27" s="1524"/>
      <c r="D27" s="1522"/>
      <c r="E27" s="1517"/>
      <c r="F27" s="1517"/>
      <c r="G27" s="1518"/>
      <c r="H27" s="753" t="s">
        <v>408</v>
      </c>
      <c r="I27" s="1109">
        <v>2</v>
      </c>
      <c r="J27" s="1139">
        <v>2880000</v>
      </c>
      <c r="K27" s="1139">
        <f t="shared" si="0"/>
        <v>2880000</v>
      </c>
      <c r="L27" s="1139" t="s">
        <v>422</v>
      </c>
      <c r="M27" s="470">
        <v>46479</v>
      </c>
      <c r="N27" s="1177" t="s">
        <v>156</v>
      </c>
      <c r="O27" s="1434"/>
      <c r="P27" s="842"/>
      <c r="Q27" s="760"/>
      <c r="R27" s="842"/>
      <c r="S27" s="1064"/>
      <c r="T27" s="760"/>
      <c r="U27" s="760"/>
      <c r="V27" s="760"/>
      <c r="W27" s="842"/>
      <c r="X27" s="760"/>
      <c r="Y27" s="760"/>
      <c r="Z27" s="760"/>
      <c r="AA27" s="817"/>
      <c r="AB27" s="1068">
        <f t="shared" si="2"/>
        <v>0</v>
      </c>
      <c r="AC27" s="1068">
        <f t="shared" si="1"/>
        <v>2880000</v>
      </c>
      <c r="AD27" s="778"/>
      <c r="AE27" s="778"/>
    </row>
    <row r="28" spans="1:31" s="280" customFormat="1" ht="18.75" customHeight="1" x14ac:dyDescent="0.25">
      <c r="A28" s="1031">
        <v>27</v>
      </c>
      <c r="B28" s="1524"/>
      <c r="C28" s="1524"/>
      <c r="D28" s="1522"/>
      <c r="E28" s="1517"/>
      <c r="F28" s="1517"/>
      <c r="G28" s="1518"/>
      <c r="H28" s="753" t="s">
        <v>65</v>
      </c>
      <c r="I28" s="1109">
        <v>2</v>
      </c>
      <c r="J28" s="1139">
        <v>3640000</v>
      </c>
      <c r="K28" s="1139">
        <f t="shared" si="0"/>
        <v>3640000</v>
      </c>
      <c r="L28" s="1139" t="s">
        <v>422</v>
      </c>
      <c r="M28" s="470">
        <v>46479</v>
      </c>
      <c r="N28" s="1177" t="s">
        <v>156</v>
      </c>
      <c r="O28" s="1434"/>
      <c r="P28" s="842"/>
      <c r="Q28" s="760"/>
      <c r="R28" s="842"/>
      <c r="S28" s="1064"/>
      <c r="T28" s="760"/>
      <c r="U28" s="760"/>
      <c r="V28" s="760"/>
      <c r="W28" s="842"/>
      <c r="X28" s="760"/>
      <c r="Y28" s="760"/>
      <c r="Z28" s="760"/>
      <c r="AA28" s="817"/>
      <c r="AB28" s="1068">
        <f t="shared" si="2"/>
        <v>0</v>
      </c>
      <c r="AC28" s="1068">
        <f t="shared" si="1"/>
        <v>3640000</v>
      </c>
      <c r="AD28" s="778"/>
      <c r="AE28" s="778"/>
    </row>
    <row r="29" spans="1:31" s="280" customFormat="1" ht="18.75" customHeight="1" x14ac:dyDescent="0.25">
      <c r="A29" s="1031">
        <v>28</v>
      </c>
      <c r="B29" s="1524"/>
      <c r="C29" s="1524"/>
      <c r="D29" s="1522"/>
      <c r="E29" s="1517"/>
      <c r="F29" s="1517"/>
      <c r="G29" s="1518"/>
      <c r="H29" s="753" t="s">
        <v>358</v>
      </c>
      <c r="I29" s="1109">
        <v>1</v>
      </c>
      <c r="J29" s="1139">
        <v>1688000</v>
      </c>
      <c r="K29" s="1139">
        <f t="shared" si="0"/>
        <v>1688000</v>
      </c>
      <c r="L29" s="1139" t="s">
        <v>422</v>
      </c>
      <c r="M29" s="470">
        <v>46479</v>
      </c>
      <c r="N29" s="1177" t="s">
        <v>156</v>
      </c>
      <c r="O29" s="1434"/>
      <c r="P29" s="842"/>
      <c r="Q29" s="760"/>
      <c r="R29" s="842"/>
      <c r="S29" s="1064"/>
      <c r="T29" s="760"/>
      <c r="U29" s="760"/>
      <c r="V29" s="760"/>
      <c r="W29" s="842"/>
      <c r="X29" s="760"/>
      <c r="Y29" s="760"/>
      <c r="Z29" s="760"/>
      <c r="AA29" s="817"/>
      <c r="AB29" s="1068">
        <f t="shared" si="2"/>
        <v>0</v>
      </c>
      <c r="AC29" s="1068">
        <f t="shared" si="1"/>
        <v>1688000</v>
      </c>
      <c r="AD29" s="778"/>
      <c r="AE29" s="778"/>
    </row>
    <row r="30" spans="1:31" s="280" customFormat="1" ht="18.75" customHeight="1" x14ac:dyDescent="0.25">
      <c r="A30" s="1031">
        <v>29</v>
      </c>
      <c r="B30" s="1524"/>
      <c r="C30" s="1524"/>
      <c r="D30" s="1522"/>
      <c r="E30" s="1517"/>
      <c r="F30" s="1517"/>
      <c r="G30" s="1518"/>
      <c r="H30" s="753" t="s">
        <v>391</v>
      </c>
      <c r="I30" s="1109">
        <v>1</v>
      </c>
      <c r="J30" s="1139">
        <v>699036</v>
      </c>
      <c r="K30" s="1139">
        <f t="shared" si="0"/>
        <v>699036</v>
      </c>
      <c r="L30" s="1139" t="s">
        <v>422</v>
      </c>
      <c r="M30" s="470">
        <v>46479</v>
      </c>
      <c r="N30" s="1177" t="s">
        <v>156</v>
      </c>
      <c r="O30" s="1434"/>
      <c r="P30" s="842"/>
      <c r="Q30" s="760"/>
      <c r="R30" s="842"/>
      <c r="S30" s="1064"/>
      <c r="T30" s="760"/>
      <c r="U30" s="760"/>
      <c r="V30" s="760"/>
      <c r="W30" s="842"/>
      <c r="X30" s="760"/>
      <c r="Y30" s="760"/>
      <c r="Z30" s="760"/>
      <c r="AA30" s="817"/>
      <c r="AB30" s="1068">
        <f t="shared" si="2"/>
        <v>0</v>
      </c>
      <c r="AC30" s="1068">
        <f t="shared" si="1"/>
        <v>699036</v>
      </c>
      <c r="AD30" s="778"/>
      <c r="AE30" s="778"/>
    </row>
    <row r="31" spans="1:31" s="280" customFormat="1" ht="18.75" customHeight="1" x14ac:dyDescent="0.25">
      <c r="A31" s="1031">
        <v>30</v>
      </c>
      <c r="B31" s="1524"/>
      <c r="C31" s="1524"/>
      <c r="D31" s="1522"/>
      <c r="E31" s="1517"/>
      <c r="F31" s="1517"/>
      <c r="G31" s="1518"/>
      <c r="H31" s="753" t="s">
        <v>409</v>
      </c>
      <c r="I31" s="1109">
        <v>2</v>
      </c>
      <c r="J31" s="1139">
        <v>2100000</v>
      </c>
      <c r="K31" s="1139">
        <f t="shared" si="0"/>
        <v>2100000</v>
      </c>
      <c r="L31" s="1139" t="s">
        <v>422</v>
      </c>
      <c r="M31" s="470">
        <v>46479</v>
      </c>
      <c r="N31" s="1177" t="s">
        <v>156</v>
      </c>
      <c r="O31" s="1434"/>
      <c r="P31" s="842"/>
      <c r="Q31" s="760"/>
      <c r="R31" s="842"/>
      <c r="S31" s="1064"/>
      <c r="T31" s="760"/>
      <c r="U31" s="760"/>
      <c r="V31" s="760"/>
      <c r="W31" s="842"/>
      <c r="X31" s="760"/>
      <c r="Y31" s="760"/>
      <c r="Z31" s="760"/>
      <c r="AA31" s="817"/>
      <c r="AB31" s="1068">
        <f t="shared" si="2"/>
        <v>0</v>
      </c>
      <c r="AC31" s="1068">
        <f t="shared" si="1"/>
        <v>2100000</v>
      </c>
      <c r="AD31" s="778"/>
      <c r="AE31" s="778"/>
    </row>
    <row r="32" spans="1:31" s="280" customFormat="1" ht="18.75" customHeight="1" x14ac:dyDescent="0.25">
      <c r="A32" s="974">
        <v>31</v>
      </c>
      <c r="B32" s="1524"/>
      <c r="C32" s="1524"/>
      <c r="D32" s="1165"/>
      <c r="E32" s="1450"/>
      <c r="F32" s="1450"/>
      <c r="G32" s="1460"/>
      <c r="H32" s="753" t="s">
        <v>66</v>
      </c>
      <c r="I32" s="1109">
        <v>2</v>
      </c>
      <c r="J32" s="1139">
        <v>3400000</v>
      </c>
      <c r="K32" s="1139">
        <f t="shared" si="0"/>
        <v>3400000</v>
      </c>
      <c r="L32" s="1139" t="s">
        <v>422</v>
      </c>
      <c r="M32" s="470">
        <v>46479</v>
      </c>
      <c r="N32" s="1177" t="s">
        <v>156</v>
      </c>
      <c r="O32" s="1435"/>
      <c r="P32" s="842"/>
      <c r="Q32" s="760"/>
      <c r="R32" s="842"/>
      <c r="S32" s="1064"/>
      <c r="T32" s="760"/>
      <c r="U32" s="760"/>
      <c r="V32" s="760"/>
      <c r="W32" s="842"/>
      <c r="X32" s="760"/>
      <c r="Y32" s="760"/>
      <c r="Z32" s="760"/>
      <c r="AA32" s="817"/>
      <c r="AB32" s="1068">
        <f t="shared" si="2"/>
        <v>0</v>
      </c>
      <c r="AC32" s="1068">
        <f t="shared" si="1"/>
        <v>3400000</v>
      </c>
      <c r="AD32" s="778"/>
      <c r="AE32" s="778"/>
    </row>
    <row r="33" spans="1:31" s="280" customFormat="1" ht="18.75" customHeight="1" thickBot="1" x14ac:dyDescent="0.3">
      <c r="A33" s="1031">
        <v>32</v>
      </c>
      <c r="B33" s="1525"/>
      <c r="C33" s="1525"/>
      <c r="D33" s="806">
        <v>4500845450</v>
      </c>
      <c r="E33" s="1205" t="s">
        <v>424</v>
      </c>
      <c r="F33" s="1209">
        <v>103522</v>
      </c>
      <c r="G33" s="808" t="s">
        <v>415</v>
      </c>
      <c r="H33" s="808" t="s">
        <v>421</v>
      </c>
      <c r="I33" s="1111">
        <v>1</v>
      </c>
      <c r="J33" s="1141">
        <v>690000</v>
      </c>
      <c r="K33" s="1141">
        <f t="shared" si="0"/>
        <v>690000</v>
      </c>
      <c r="L33" s="1139" t="s">
        <v>422</v>
      </c>
      <c r="M33" s="837">
        <v>46350</v>
      </c>
      <c r="N33" s="1177" t="s">
        <v>156</v>
      </c>
      <c r="O33" s="838" t="s">
        <v>436</v>
      </c>
      <c r="P33" s="838"/>
      <c r="Q33" s="809"/>
      <c r="R33" s="838"/>
      <c r="S33" s="1065"/>
      <c r="T33" s="809"/>
      <c r="U33" s="809"/>
      <c r="V33" s="809"/>
      <c r="W33" s="838"/>
      <c r="X33" s="809"/>
      <c r="Y33" s="809"/>
      <c r="Z33" s="809"/>
      <c r="AA33" s="818"/>
      <c r="AB33" s="1068">
        <f>SUM(P33:AA33)</f>
        <v>0</v>
      </c>
      <c r="AC33" s="1068">
        <f t="shared" si="1"/>
        <v>690000</v>
      </c>
      <c r="AD33" s="778"/>
      <c r="AE33" s="778"/>
    </row>
    <row r="34" spans="1:31" s="280" customFormat="1" ht="56.25" x14ac:dyDescent="0.25">
      <c r="A34" s="974">
        <v>33</v>
      </c>
      <c r="B34" s="1528" t="s">
        <v>122</v>
      </c>
      <c r="C34" s="1502">
        <v>2025</v>
      </c>
      <c r="D34" s="796" t="s">
        <v>227</v>
      </c>
      <c r="E34" s="779" t="s">
        <v>386</v>
      </c>
      <c r="F34" s="797">
        <v>103074</v>
      </c>
      <c r="G34" s="810" t="s">
        <v>401</v>
      </c>
      <c r="H34" s="972" t="s">
        <v>353</v>
      </c>
      <c r="I34" s="1114">
        <v>15</v>
      </c>
      <c r="J34" s="1144">
        <v>11584300</v>
      </c>
      <c r="K34" s="1144">
        <f t="shared" ref="K34:K64" si="3">J34-SUM(P34:T34)</f>
        <v>5058850</v>
      </c>
      <c r="L34" s="1144" t="s">
        <v>422</v>
      </c>
      <c r="M34" s="1058">
        <v>45981</v>
      </c>
      <c r="N34" s="909" t="s">
        <v>395</v>
      </c>
      <c r="O34" s="897" t="s">
        <v>437</v>
      </c>
      <c r="P34" s="897"/>
      <c r="Q34" s="781"/>
      <c r="R34" s="781"/>
      <c r="S34" s="973"/>
      <c r="T34" s="916">
        <f>6525450</f>
        <v>6525450</v>
      </c>
      <c r="U34" s="781"/>
      <c r="V34" s="781"/>
      <c r="W34" s="781"/>
      <c r="X34" s="781"/>
      <c r="Y34" s="781"/>
      <c r="Z34" s="781"/>
      <c r="AA34" s="820"/>
      <c r="AB34" s="782">
        <f t="shared" si="2"/>
        <v>6525450</v>
      </c>
      <c r="AC34" s="782">
        <f t="shared" ref="AC34:AC64" si="4">J34-AB34</f>
        <v>5058850</v>
      </c>
      <c r="AD34" s="749"/>
      <c r="AE34" s="749"/>
    </row>
    <row r="35" spans="1:31" s="280" customFormat="1" ht="58.5" customHeight="1" x14ac:dyDescent="0.25">
      <c r="A35" s="974">
        <v>34</v>
      </c>
      <c r="B35" s="1502"/>
      <c r="C35" s="1502"/>
      <c r="D35" s="792">
        <v>6162</v>
      </c>
      <c r="E35" s="512">
        <v>1952</v>
      </c>
      <c r="F35" s="791">
        <v>103088</v>
      </c>
      <c r="G35" s="26" t="s">
        <v>24</v>
      </c>
      <c r="H35" s="95" t="s">
        <v>100</v>
      </c>
      <c r="I35" s="1115">
        <v>10</v>
      </c>
      <c r="J35" s="1145">
        <v>6000000</v>
      </c>
      <c r="K35" s="1145">
        <f t="shared" si="3"/>
        <v>6000000</v>
      </c>
      <c r="L35" s="1145" t="s">
        <v>157</v>
      </c>
      <c r="M35" s="409">
        <v>46018</v>
      </c>
      <c r="N35" s="907" t="s">
        <v>395</v>
      </c>
      <c r="O35" s="896" t="s">
        <v>438</v>
      </c>
      <c r="P35" s="896"/>
      <c r="Q35" s="765"/>
      <c r="R35" s="765"/>
      <c r="S35" s="765"/>
      <c r="T35" s="765"/>
      <c r="U35" s="765"/>
      <c r="V35" s="765">
        <f>J35</f>
        <v>6000000</v>
      </c>
      <c r="W35" s="765"/>
      <c r="X35" s="765"/>
      <c r="Y35" s="765"/>
      <c r="Z35" s="765"/>
      <c r="AA35" s="819"/>
      <c r="AB35" s="766">
        <f t="shared" si="2"/>
        <v>6000000</v>
      </c>
      <c r="AC35" s="766">
        <f t="shared" si="4"/>
        <v>0</v>
      </c>
      <c r="AD35" s="749"/>
      <c r="AE35" s="749"/>
    </row>
    <row r="36" spans="1:31" s="280" customFormat="1" ht="18.75" customHeight="1" x14ac:dyDescent="0.25">
      <c r="A36" s="828">
        <v>35</v>
      </c>
      <c r="B36" s="1502"/>
      <c r="C36" s="1502"/>
      <c r="D36" s="792" t="s">
        <v>157</v>
      </c>
      <c r="E36" s="512"/>
      <c r="F36" s="791">
        <v>103076</v>
      </c>
      <c r="G36" s="26" t="s">
        <v>118</v>
      </c>
      <c r="H36" s="95" t="s">
        <v>39</v>
      </c>
      <c r="I36" s="1115">
        <v>1</v>
      </c>
      <c r="J36" s="1145">
        <v>38425</v>
      </c>
      <c r="K36" s="1145">
        <f t="shared" si="3"/>
        <v>0</v>
      </c>
      <c r="L36" s="1145" t="s">
        <v>422</v>
      </c>
      <c r="M36" s="409">
        <v>45813</v>
      </c>
      <c r="N36" s="908" t="s">
        <v>158</v>
      </c>
      <c r="O36" s="900"/>
      <c r="P36" s="900">
        <f>J36</f>
        <v>38425</v>
      </c>
      <c r="Q36" s="765"/>
      <c r="R36" s="765"/>
      <c r="S36" s="765"/>
      <c r="T36" s="765"/>
      <c r="U36" s="765"/>
      <c r="V36" s="765"/>
      <c r="W36" s="765"/>
      <c r="X36" s="765"/>
      <c r="Y36" s="765"/>
      <c r="Z36" s="765"/>
      <c r="AA36" s="819"/>
      <c r="AB36" s="766">
        <f t="shared" si="2"/>
        <v>38425</v>
      </c>
      <c r="AC36" s="766">
        <f t="shared" si="4"/>
        <v>0</v>
      </c>
      <c r="AD36" s="749"/>
      <c r="AE36" s="749"/>
    </row>
    <row r="37" spans="1:31" s="280" customFormat="1" ht="18.75" customHeight="1" x14ac:dyDescent="0.25">
      <c r="A37" s="828">
        <v>36</v>
      </c>
      <c r="B37" s="1502"/>
      <c r="C37" s="1502"/>
      <c r="D37" s="796">
        <v>5185</v>
      </c>
      <c r="E37" s="779">
        <v>1814</v>
      </c>
      <c r="F37" s="797">
        <v>102792</v>
      </c>
      <c r="G37" s="810" t="s">
        <v>36</v>
      </c>
      <c r="H37" s="780" t="s">
        <v>74</v>
      </c>
      <c r="I37" s="1114">
        <v>2</v>
      </c>
      <c r="J37" s="1144">
        <v>3540000</v>
      </c>
      <c r="K37" s="1144">
        <f t="shared" si="3"/>
        <v>0</v>
      </c>
      <c r="L37" s="1144" t="s">
        <v>422</v>
      </c>
      <c r="M37" s="1060">
        <v>46197</v>
      </c>
      <c r="N37" s="908" t="s">
        <v>158</v>
      </c>
      <c r="O37" s="900"/>
      <c r="P37" s="900">
        <f>J37</f>
        <v>3540000</v>
      </c>
      <c r="Q37" s="781"/>
      <c r="R37" s="781"/>
      <c r="S37" s="781"/>
      <c r="T37" s="781"/>
      <c r="U37" s="781"/>
      <c r="V37" s="781"/>
      <c r="W37" s="781"/>
      <c r="X37" s="781"/>
      <c r="Y37" s="781"/>
      <c r="Z37" s="765"/>
      <c r="AA37" s="820"/>
      <c r="AB37" s="798">
        <f t="shared" si="2"/>
        <v>3540000</v>
      </c>
      <c r="AC37" s="798">
        <f t="shared" si="4"/>
        <v>0</v>
      </c>
      <c r="AD37" s="778"/>
      <c r="AE37" s="778"/>
    </row>
    <row r="38" spans="1:31" s="280" customFormat="1" ht="18.75" customHeight="1" x14ac:dyDescent="0.25">
      <c r="A38" s="974">
        <v>37</v>
      </c>
      <c r="B38" s="1502"/>
      <c r="C38" s="1502"/>
      <c r="D38" s="796">
        <v>4906</v>
      </c>
      <c r="E38" s="779">
        <v>1791</v>
      </c>
      <c r="F38" s="797">
        <v>102699</v>
      </c>
      <c r="G38" s="810" t="s">
        <v>32</v>
      </c>
      <c r="H38" s="780" t="s">
        <v>354</v>
      </c>
      <c r="I38" s="1114">
        <v>1</v>
      </c>
      <c r="J38" s="1144">
        <v>652900</v>
      </c>
      <c r="K38" s="1144">
        <f t="shared" si="3"/>
        <v>0</v>
      </c>
      <c r="L38" s="1144" t="s">
        <v>422</v>
      </c>
      <c r="M38" s="1058">
        <v>45777</v>
      </c>
      <c r="N38" s="909" t="s">
        <v>158</v>
      </c>
      <c r="O38" s="897"/>
      <c r="P38" s="897"/>
      <c r="Q38" s="781"/>
      <c r="R38" s="781"/>
      <c r="S38" s="917">
        <f>J38</f>
        <v>652900</v>
      </c>
      <c r="T38" s="781"/>
      <c r="U38" s="781"/>
      <c r="V38" s="781"/>
      <c r="W38" s="781"/>
      <c r="X38" s="781"/>
      <c r="Y38" s="781"/>
      <c r="Z38" s="765"/>
      <c r="AA38" s="820"/>
      <c r="AB38" s="782">
        <f t="shared" si="2"/>
        <v>652900</v>
      </c>
      <c r="AC38" s="782">
        <f t="shared" si="4"/>
        <v>0</v>
      </c>
      <c r="AD38" s="749"/>
      <c r="AE38" s="749"/>
    </row>
    <row r="39" spans="1:31" s="280" customFormat="1" ht="12.75" customHeight="1" x14ac:dyDescent="0.25">
      <c r="A39" s="828">
        <v>38</v>
      </c>
      <c r="B39" s="1502"/>
      <c r="C39" s="1502"/>
      <c r="D39" s="792">
        <v>5829</v>
      </c>
      <c r="E39" s="512">
        <v>1910</v>
      </c>
      <c r="F39" s="791">
        <v>102978</v>
      </c>
      <c r="G39" s="26" t="s">
        <v>23</v>
      </c>
      <c r="H39" s="95" t="s">
        <v>353</v>
      </c>
      <c r="I39" s="1115">
        <v>9</v>
      </c>
      <c r="J39" s="1145">
        <v>8997750</v>
      </c>
      <c r="K39" s="1145">
        <f t="shared" si="3"/>
        <v>0</v>
      </c>
      <c r="L39" s="1145" t="s">
        <v>422</v>
      </c>
      <c r="M39" s="409">
        <v>46007</v>
      </c>
      <c r="N39" s="909" t="s">
        <v>158</v>
      </c>
      <c r="O39" s="900"/>
      <c r="P39" s="900">
        <f>J39/9</f>
        <v>999750</v>
      </c>
      <c r="Q39" s="765"/>
      <c r="R39" s="917">
        <f>J39/9*8</f>
        <v>7998000</v>
      </c>
      <c r="S39" s="765"/>
      <c r="T39" s="765"/>
      <c r="U39" s="765"/>
      <c r="V39" s="765"/>
      <c r="W39" s="765"/>
      <c r="X39" s="765"/>
      <c r="Y39" s="765"/>
      <c r="Z39" s="765"/>
      <c r="AA39" s="819"/>
      <c r="AB39" s="782">
        <f t="shared" si="2"/>
        <v>8997750</v>
      </c>
      <c r="AC39" s="782">
        <f t="shared" si="4"/>
        <v>0</v>
      </c>
      <c r="AD39" s="749"/>
      <c r="AE39" s="749"/>
    </row>
    <row r="40" spans="1:31" s="280" customFormat="1" ht="37.5" x14ac:dyDescent="0.25">
      <c r="A40" s="828">
        <v>39</v>
      </c>
      <c r="B40" s="1502"/>
      <c r="C40" s="1502"/>
      <c r="D40" s="792" t="s">
        <v>375</v>
      </c>
      <c r="E40" s="512"/>
      <c r="F40" s="791">
        <v>102934</v>
      </c>
      <c r="G40" s="26" t="s">
        <v>86</v>
      </c>
      <c r="H40" s="95" t="s">
        <v>84</v>
      </c>
      <c r="I40" s="1115">
        <v>1</v>
      </c>
      <c r="J40" s="1145">
        <v>25500</v>
      </c>
      <c r="K40" s="1145">
        <f t="shared" si="3"/>
        <v>25500</v>
      </c>
      <c r="L40" s="1145" t="s">
        <v>422</v>
      </c>
      <c r="M40" s="409"/>
      <c r="N40" s="909" t="s">
        <v>395</v>
      </c>
      <c r="O40" s="896" t="s">
        <v>439</v>
      </c>
      <c r="P40" s="896"/>
      <c r="Q40" s="765"/>
      <c r="R40" s="765"/>
      <c r="S40" s="765"/>
      <c r="T40" s="765"/>
      <c r="U40" s="765"/>
      <c r="V40" s="765">
        <f>J40</f>
        <v>25500</v>
      </c>
      <c r="W40" s="765"/>
      <c r="X40" s="765"/>
      <c r="Y40" s="765"/>
      <c r="Z40" s="765"/>
      <c r="AA40" s="819"/>
      <c r="AB40" s="766">
        <f t="shared" si="2"/>
        <v>25500</v>
      </c>
      <c r="AC40" s="766">
        <f t="shared" si="4"/>
        <v>0</v>
      </c>
      <c r="AD40" s="778"/>
      <c r="AE40" s="778"/>
    </row>
    <row r="41" spans="1:31" s="280" customFormat="1" ht="37.5" x14ac:dyDescent="0.25">
      <c r="A41" s="974">
        <v>40</v>
      </c>
      <c r="B41" s="1502"/>
      <c r="C41" s="1502"/>
      <c r="D41" s="792" t="s">
        <v>177</v>
      </c>
      <c r="E41" s="512"/>
      <c r="F41" s="791">
        <v>102958</v>
      </c>
      <c r="G41" s="26" t="s">
        <v>88</v>
      </c>
      <c r="H41" s="95" t="s">
        <v>84</v>
      </c>
      <c r="I41" s="1115">
        <v>1</v>
      </c>
      <c r="J41" s="1145">
        <v>163750</v>
      </c>
      <c r="K41" s="1145">
        <f t="shared" si="3"/>
        <v>0</v>
      </c>
      <c r="L41" s="1145" t="s">
        <v>422</v>
      </c>
      <c r="M41" s="409">
        <v>45778</v>
      </c>
      <c r="N41" s="909" t="s">
        <v>158</v>
      </c>
      <c r="O41" s="896"/>
      <c r="P41" s="896"/>
      <c r="Q41" s="765"/>
      <c r="R41" s="917">
        <f>J41</f>
        <v>163750</v>
      </c>
      <c r="S41" s="765"/>
      <c r="T41" s="765"/>
      <c r="U41" s="765"/>
      <c r="V41" s="765"/>
      <c r="W41" s="765"/>
      <c r="X41" s="765"/>
      <c r="Y41" s="765"/>
      <c r="Z41" s="765"/>
      <c r="AA41" s="819"/>
      <c r="AB41" s="766">
        <f>SUM(P41:AA41)</f>
        <v>163750</v>
      </c>
      <c r="AC41" s="766">
        <f t="shared" si="4"/>
        <v>0</v>
      </c>
      <c r="AD41" s="749"/>
      <c r="AE41" s="749"/>
    </row>
    <row r="42" spans="1:31" s="280" customFormat="1" ht="19.5" customHeight="1" thickBot="1" x14ac:dyDescent="0.3">
      <c r="A42" s="828">
        <v>41</v>
      </c>
      <c r="B42" s="1502"/>
      <c r="C42" s="1502"/>
      <c r="D42" s="775" t="s">
        <v>363</v>
      </c>
      <c r="E42" s="776">
        <v>1464</v>
      </c>
      <c r="F42" s="777">
        <v>102975</v>
      </c>
      <c r="G42" s="951" t="s">
        <v>97</v>
      </c>
      <c r="H42" s="952" t="s">
        <v>84</v>
      </c>
      <c r="I42" s="1116">
        <v>1</v>
      </c>
      <c r="J42" s="1146">
        <v>162000</v>
      </c>
      <c r="K42" s="1146">
        <f t="shared" si="3"/>
        <v>0</v>
      </c>
      <c r="L42" s="1146" t="s">
        <v>422</v>
      </c>
      <c r="M42" s="1056"/>
      <c r="N42" s="960" t="s">
        <v>158</v>
      </c>
      <c r="O42" s="961"/>
      <c r="P42" s="961">
        <f>J42</f>
        <v>162000</v>
      </c>
      <c r="Q42" s="953"/>
      <c r="R42" s="953"/>
      <c r="S42" s="953"/>
      <c r="T42" s="953"/>
      <c r="U42" s="953"/>
      <c r="V42" s="953"/>
      <c r="W42" s="953"/>
      <c r="X42" s="953"/>
      <c r="Y42" s="953"/>
      <c r="Z42" s="953"/>
      <c r="AA42" s="954"/>
      <c r="AB42" s="955">
        <f t="shared" si="2"/>
        <v>162000</v>
      </c>
      <c r="AC42" s="955">
        <f t="shared" si="4"/>
        <v>0</v>
      </c>
      <c r="AD42" s="774"/>
      <c r="AE42" s="774"/>
    </row>
    <row r="43" spans="1:31" s="280" customFormat="1" ht="24" customHeight="1" thickBot="1" x14ac:dyDescent="0.3">
      <c r="A43" s="829">
        <v>42</v>
      </c>
      <c r="B43" s="1529"/>
      <c r="C43" s="962">
        <v>2026</v>
      </c>
      <c r="D43" s="963"/>
      <c r="E43" s="964"/>
      <c r="F43" s="965">
        <v>103479</v>
      </c>
      <c r="G43" s="966" t="s">
        <v>390</v>
      </c>
      <c r="H43" s="967" t="s">
        <v>66</v>
      </c>
      <c r="I43" s="1117">
        <v>1</v>
      </c>
      <c r="J43" s="1147">
        <f>1500000</f>
        <v>1500000</v>
      </c>
      <c r="K43" s="1147">
        <f t="shared" si="3"/>
        <v>1500000</v>
      </c>
      <c r="L43" s="1147" t="s">
        <v>422</v>
      </c>
      <c r="M43" s="976">
        <v>46428</v>
      </c>
      <c r="N43" s="968" t="s">
        <v>156</v>
      </c>
      <c r="O43" s="969" t="s">
        <v>440</v>
      </c>
      <c r="P43" s="969"/>
      <c r="Q43" s="969"/>
      <c r="R43" s="969"/>
      <c r="S43" s="969"/>
      <c r="T43" s="969"/>
      <c r="U43" s="969"/>
      <c r="V43" s="969"/>
      <c r="W43" s="969"/>
      <c r="X43" s="969"/>
      <c r="Y43" s="969"/>
      <c r="Z43" s="969"/>
      <c r="AA43" s="970"/>
      <c r="AB43" s="971">
        <f>SUM(P43:AA43)</f>
        <v>0</v>
      </c>
      <c r="AC43" s="971">
        <f t="shared" si="4"/>
        <v>1500000</v>
      </c>
      <c r="AD43" s="778"/>
      <c r="AE43" s="778"/>
    </row>
    <row r="44" spans="1:31" s="280" customFormat="1" ht="37.5" x14ac:dyDescent="0.25">
      <c r="A44" s="830">
        <v>43</v>
      </c>
      <c r="B44" s="1550" t="s">
        <v>352</v>
      </c>
      <c r="C44" s="1503">
        <v>2025</v>
      </c>
      <c r="D44" s="956" t="s">
        <v>175</v>
      </c>
      <c r="E44" s="957" t="s">
        <v>153</v>
      </c>
      <c r="F44" s="958">
        <v>103156</v>
      </c>
      <c r="G44" s="799" t="s">
        <v>133</v>
      </c>
      <c r="H44" s="799" t="s">
        <v>39</v>
      </c>
      <c r="I44" s="1118">
        <v>4</v>
      </c>
      <c r="J44" s="1148">
        <v>375750</v>
      </c>
      <c r="K44" s="1148">
        <f t="shared" si="3"/>
        <v>375750</v>
      </c>
      <c r="L44" s="1148" t="s">
        <v>422</v>
      </c>
      <c r="M44" s="1058">
        <v>45897</v>
      </c>
      <c r="N44" s="1061" t="s">
        <v>156</v>
      </c>
      <c r="O44" s="898" t="s">
        <v>441</v>
      </c>
      <c r="P44" s="898"/>
      <c r="Q44" s="800"/>
      <c r="R44" s="800"/>
      <c r="S44" s="800"/>
      <c r="T44" s="800"/>
      <c r="U44" s="800"/>
      <c r="V44" s="1221">
        <f>J44</f>
        <v>375750</v>
      </c>
      <c r="W44" s="800"/>
      <c r="X44" s="800"/>
      <c r="Y44" s="800"/>
      <c r="Z44" s="800"/>
      <c r="AA44" s="821"/>
      <c r="AB44" s="801">
        <f t="shared" si="2"/>
        <v>375750</v>
      </c>
      <c r="AC44" s="801">
        <f t="shared" si="4"/>
        <v>0</v>
      </c>
      <c r="AD44" s="778"/>
      <c r="AE44" s="778"/>
    </row>
    <row r="45" spans="1:31" ht="38.25" thickBot="1" x14ac:dyDescent="0.3">
      <c r="A45" s="828">
        <v>44</v>
      </c>
      <c r="B45" s="1503"/>
      <c r="C45" s="1504"/>
      <c r="D45" s="861" t="s">
        <v>178</v>
      </c>
      <c r="E45" s="862"/>
      <c r="F45" s="863">
        <v>103111</v>
      </c>
      <c r="G45" s="784" t="s">
        <v>24</v>
      </c>
      <c r="H45" s="784" t="s">
        <v>39</v>
      </c>
      <c r="I45" s="1119">
        <v>1</v>
      </c>
      <c r="J45" s="1149">
        <v>963500</v>
      </c>
      <c r="K45" s="1149">
        <f t="shared" si="3"/>
        <v>963500</v>
      </c>
      <c r="L45" s="1149" t="s">
        <v>422</v>
      </c>
      <c r="M45" s="785">
        <v>45852</v>
      </c>
      <c r="N45" s="844" t="s">
        <v>156</v>
      </c>
      <c r="O45" s="899" t="s">
        <v>441</v>
      </c>
      <c r="P45" s="899"/>
      <c r="Q45" s="786"/>
      <c r="R45" s="786"/>
      <c r="S45" s="786"/>
      <c r="T45" s="786"/>
      <c r="U45" s="786"/>
      <c r="V45" s="1222">
        <f>J45</f>
        <v>963500</v>
      </c>
      <c r="W45" s="786"/>
      <c r="X45" s="786"/>
      <c r="Y45" s="786"/>
      <c r="Z45" s="786"/>
      <c r="AA45" s="822"/>
      <c r="AB45" s="787">
        <f t="shared" si="2"/>
        <v>963500</v>
      </c>
      <c r="AC45" s="787">
        <f t="shared" si="4"/>
        <v>0</v>
      </c>
      <c r="AD45" s="294"/>
      <c r="AE45" s="294"/>
    </row>
    <row r="46" spans="1:31" s="280" customFormat="1" x14ac:dyDescent="0.25">
      <c r="A46" s="828">
        <v>45</v>
      </c>
      <c r="B46" s="1503"/>
      <c r="C46" s="1550">
        <v>2026</v>
      </c>
      <c r="D46" s="871" t="s">
        <v>378</v>
      </c>
      <c r="E46" s="872"/>
      <c r="F46" s="873">
        <v>103421</v>
      </c>
      <c r="G46" s="874" t="s">
        <v>387</v>
      </c>
      <c r="H46" s="875" t="s">
        <v>383</v>
      </c>
      <c r="I46" s="1120">
        <v>1</v>
      </c>
      <c r="J46" s="1150">
        <v>92800</v>
      </c>
      <c r="K46" s="1150">
        <f t="shared" si="3"/>
        <v>92800</v>
      </c>
      <c r="L46" s="1150" t="s">
        <v>422</v>
      </c>
      <c r="M46" s="876">
        <v>45798</v>
      </c>
      <c r="N46" s="1051" t="s">
        <v>156</v>
      </c>
      <c r="O46" s="877" t="s">
        <v>442</v>
      </c>
      <c r="P46" s="877"/>
      <c r="Q46" s="877"/>
      <c r="R46" s="878"/>
      <c r="S46" s="878"/>
      <c r="T46" s="878"/>
      <c r="U46" s="878"/>
      <c r="V46" s="878">
        <f>J46</f>
        <v>92800</v>
      </c>
      <c r="W46" s="878"/>
      <c r="X46" s="878"/>
      <c r="Y46" s="878"/>
      <c r="Z46" s="878"/>
      <c r="AA46" s="879"/>
      <c r="AB46" s="880">
        <f t="shared" si="2"/>
        <v>92800</v>
      </c>
      <c r="AC46" s="880">
        <f t="shared" si="4"/>
        <v>0</v>
      </c>
      <c r="AD46" s="778"/>
      <c r="AE46" s="778"/>
    </row>
    <row r="47" spans="1:31" s="280" customFormat="1" x14ac:dyDescent="0.25">
      <c r="A47" s="974">
        <v>46</v>
      </c>
      <c r="B47" s="1503"/>
      <c r="C47" s="1503"/>
      <c r="D47" s="1097" t="s">
        <v>384</v>
      </c>
      <c r="E47" s="1098"/>
      <c r="F47" s="1099">
        <v>103445</v>
      </c>
      <c r="G47" s="1100" t="s">
        <v>385</v>
      </c>
      <c r="H47" s="3" t="s">
        <v>382</v>
      </c>
      <c r="I47" s="1121">
        <v>1</v>
      </c>
      <c r="J47" s="1151">
        <v>600500</v>
      </c>
      <c r="K47" s="1151">
        <f t="shared" si="3"/>
        <v>600500</v>
      </c>
      <c r="L47" s="1151" t="s">
        <v>422</v>
      </c>
      <c r="M47" s="794">
        <v>46139</v>
      </c>
      <c r="N47" s="1063" t="s">
        <v>156</v>
      </c>
      <c r="O47" s="923" t="s">
        <v>442</v>
      </c>
      <c r="P47" s="923"/>
      <c r="Q47" s="918"/>
      <c r="R47" s="918"/>
      <c r="S47" s="918"/>
      <c r="T47" s="918"/>
      <c r="U47" s="918"/>
      <c r="V47" s="918"/>
      <c r="W47" s="918"/>
      <c r="X47" s="918"/>
      <c r="Y47" s="918"/>
      <c r="Z47" s="918"/>
      <c r="AA47" s="1101"/>
      <c r="AB47" s="1102">
        <f t="shared" si="2"/>
        <v>0</v>
      </c>
      <c r="AC47" s="1102">
        <f t="shared" si="4"/>
        <v>600500</v>
      </c>
      <c r="AD47" s="778"/>
      <c r="AE47" s="778"/>
    </row>
    <row r="48" spans="1:31" s="280" customFormat="1" ht="19.5" thickBot="1" x14ac:dyDescent="0.3">
      <c r="A48" s="1031">
        <v>47</v>
      </c>
      <c r="B48" s="1551"/>
      <c r="C48" s="1551"/>
      <c r="D48" s="1089">
        <v>77175</v>
      </c>
      <c r="E48" s="1090"/>
      <c r="F48" s="1091">
        <v>103520</v>
      </c>
      <c r="G48" s="1092" t="s">
        <v>97</v>
      </c>
      <c r="H48" s="1093" t="s">
        <v>39</v>
      </c>
      <c r="I48" s="1122">
        <v>1</v>
      </c>
      <c r="J48" s="1152">
        <v>83000</v>
      </c>
      <c r="K48" s="1152">
        <f>J48-SUM(P48:U48)</f>
        <v>0</v>
      </c>
      <c r="L48" s="1152" t="s">
        <v>422</v>
      </c>
      <c r="M48" s="794">
        <v>46140</v>
      </c>
      <c r="N48" s="1063" t="s">
        <v>156</v>
      </c>
      <c r="O48" s="1094" t="s">
        <v>456</v>
      </c>
      <c r="P48" s="1094"/>
      <c r="Q48" s="1095"/>
      <c r="R48" s="1095"/>
      <c r="S48" s="1095"/>
      <c r="T48" s="1095"/>
      <c r="U48" s="1263">
        <f>J48</f>
        <v>83000</v>
      </c>
      <c r="V48" s="1095"/>
      <c r="W48" s="1095"/>
      <c r="X48" s="1095"/>
      <c r="Y48" s="1095"/>
      <c r="Z48" s="1095"/>
      <c r="AA48" s="1096"/>
      <c r="AB48" s="1102">
        <f t="shared" si="2"/>
        <v>83000</v>
      </c>
      <c r="AC48" s="1102">
        <f t="shared" si="4"/>
        <v>0</v>
      </c>
      <c r="AD48" s="778"/>
      <c r="AE48" s="778"/>
    </row>
    <row r="49" spans="1:36" s="1079" customFormat="1" ht="24" thickBot="1" x14ac:dyDescent="0.3">
      <c r="A49" s="1077">
        <v>48</v>
      </c>
      <c r="B49" s="1080" t="s">
        <v>411</v>
      </c>
      <c r="C49" s="1080">
        <v>2026</v>
      </c>
      <c r="D49" s="1081">
        <v>1955</v>
      </c>
      <c r="E49" s="1082" t="s">
        <v>413</v>
      </c>
      <c r="F49" s="1083">
        <v>103519</v>
      </c>
      <c r="G49" s="1084" t="s">
        <v>412</v>
      </c>
      <c r="H49" s="1085" t="s">
        <v>410</v>
      </c>
      <c r="I49" s="1123">
        <v>1</v>
      </c>
      <c r="J49" s="1153">
        <v>1500000</v>
      </c>
      <c r="K49" s="1153">
        <f t="shared" si="3"/>
        <v>1500000</v>
      </c>
      <c r="L49" s="1153" t="s">
        <v>422</v>
      </c>
      <c r="M49" s="1086">
        <v>46161</v>
      </c>
      <c r="N49" s="1087" t="s">
        <v>156</v>
      </c>
      <c r="O49" s="1227" t="s">
        <v>443</v>
      </c>
      <c r="P49" s="1227"/>
      <c r="Q49" s="1228"/>
      <c r="R49" s="1228"/>
      <c r="S49" s="1228"/>
      <c r="T49" s="1228"/>
      <c r="U49" s="1228"/>
      <c r="V49" s="1228"/>
      <c r="W49" s="1228"/>
      <c r="X49" s="1228"/>
      <c r="Y49" s="1228"/>
      <c r="Z49" s="1228">
        <f>J49</f>
        <v>1500000</v>
      </c>
      <c r="AA49" s="1229"/>
      <c r="AB49" s="1088">
        <f>SUM(P49:AA49)</f>
        <v>1500000</v>
      </c>
      <c r="AC49" s="1088">
        <f t="shared" si="4"/>
        <v>0</v>
      </c>
      <c r="AD49" s="1078"/>
      <c r="AE49" s="1078"/>
    </row>
    <row r="50" spans="1:36" x14ac:dyDescent="0.25">
      <c r="A50" s="830">
        <v>49</v>
      </c>
      <c r="B50" s="1500" t="s">
        <v>62</v>
      </c>
      <c r="C50" s="1500">
        <v>2025</v>
      </c>
      <c r="D50" s="788">
        <v>6238</v>
      </c>
      <c r="E50" s="864">
        <v>1964</v>
      </c>
      <c r="F50" s="865">
        <v>103060</v>
      </c>
      <c r="G50" s="866" t="s">
        <v>120</v>
      </c>
      <c r="H50" s="867" t="s">
        <v>353</v>
      </c>
      <c r="I50" s="1124">
        <v>2</v>
      </c>
      <c r="J50" s="1154">
        <v>1087000</v>
      </c>
      <c r="K50" s="1154">
        <f t="shared" si="3"/>
        <v>0</v>
      </c>
      <c r="L50" s="1154" t="s">
        <v>157</v>
      </c>
      <c r="M50" s="1060">
        <v>45960</v>
      </c>
      <c r="N50" s="910" t="s">
        <v>395</v>
      </c>
      <c r="O50" s="1240"/>
      <c r="P50" s="1241"/>
      <c r="Q50" s="1242"/>
      <c r="R50" s="1242"/>
      <c r="S50" s="915">
        <f>J50</f>
        <v>1087000</v>
      </c>
      <c r="T50" s="1242"/>
      <c r="U50" s="1242"/>
      <c r="V50" s="1242"/>
      <c r="W50" s="1242"/>
      <c r="X50" s="1242"/>
      <c r="Y50" s="1242"/>
      <c r="Z50" s="1242"/>
      <c r="AA50" s="1243"/>
      <c r="AB50" s="870">
        <f t="shared" si="2"/>
        <v>1087000</v>
      </c>
      <c r="AC50" s="870">
        <f t="shared" si="4"/>
        <v>0</v>
      </c>
      <c r="AD50" s="294"/>
      <c r="AE50" s="294"/>
      <c r="AI50" s="280"/>
    </row>
    <row r="51" spans="1:36" ht="37.5" x14ac:dyDescent="0.25">
      <c r="A51" s="828">
        <v>50</v>
      </c>
      <c r="B51" s="1500"/>
      <c r="C51" s="1500"/>
      <c r="D51" s="45" t="s">
        <v>177</v>
      </c>
      <c r="E51" s="767"/>
      <c r="F51" s="768">
        <v>103056</v>
      </c>
      <c r="G51" s="754" t="s">
        <v>97</v>
      </c>
      <c r="H51" s="237" t="s">
        <v>39</v>
      </c>
      <c r="I51" s="1125">
        <v>3</v>
      </c>
      <c r="J51" s="1155">
        <f>83000*3</f>
        <v>249000</v>
      </c>
      <c r="K51" s="1155">
        <f t="shared" si="3"/>
        <v>0</v>
      </c>
      <c r="L51" s="1155" t="s">
        <v>422</v>
      </c>
      <c r="M51" s="409">
        <v>45711</v>
      </c>
      <c r="N51" s="911" t="s">
        <v>158</v>
      </c>
      <c r="O51" s="1231"/>
      <c r="P51" s="1231">
        <f>J51</f>
        <v>249000</v>
      </c>
      <c r="Q51" s="868"/>
      <c r="R51" s="868"/>
      <c r="S51" s="868"/>
      <c r="T51" s="868"/>
      <c r="U51" s="868"/>
      <c r="V51" s="868"/>
      <c r="W51" s="868"/>
      <c r="X51" s="868"/>
      <c r="Y51" s="868"/>
      <c r="Z51" s="868"/>
      <c r="AA51" s="869"/>
      <c r="AB51" s="769">
        <f t="shared" si="2"/>
        <v>249000</v>
      </c>
      <c r="AC51" s="769">
        <f t="shared" si="4"/>
        <v>0</v>
      </c>
      <c r="AD51" s="294"/>
      <c r="AE51" s="294"/>
      <c r="AF51" s="294"/>
    </row>
    <row r="52" spans="1:36" ht="19.5" thickBot="1" x14ac:dyDescent="0.3">
      <c r="A52" s="974">
        <v>51</v>
      </c>
      <c r="B52" s="1500"/>
      <c r="C52" s="1500"/>
      <c r="D52" s="45" t="s">
        <v>149</v>
      </c>
      <c r="E52" s="767"/>
      <c r="F52" s="768">
        <v>102898</v>
      </c>
      <c r="G52" s="754" t="s">
        <v>97</v>
      </c>
      <c r="H52" s="237" t="s">
        <v>39</v>
      </c>
      <c r="I52" s="1125">
        <v>1</v>
      </c>
      <c r="J52" s="1155">
        <v>83000</v>
      </c>
      <c r="K52" s="1155">
        <f t="shared" si="3"/>
        <v>0</v>
      </c>
      <c r="L52" s="1155" t="s">
        <v>422</v>
      </c>
      <c r="M52" s="409">
        <v>45648</v>
      </c>
      <c r="N52" s="911" t="s">
        <v>158</v>
      </c>
      <c r="O52" s="961"/>
      <c r="P52" s="961">
        <f>J52</f>
        <v>83000</v>
      </c>
      <c r="Q52" s="987"/>
      <c r="R52" s="987"/>
      <c r="S52" s="987"/>
      <c r="T52" s="987"/>
      <c r="U52" s="987"/>
      <c r="V52" s="987"/>
      <c r="W52" s="987"/>
      <c r="X52" s="987"/>
      <c r="Y52" s="987"/>
      <c r="Z52" s="987"/>
      <c r="AA52" s="1230"/>
      <c r="AB52" s="769">
        <f t="shared" si="2"/>
        <v>83000</v>
      </c>
      <c r="AC52" s="769">
        <f t="shared" si="4"/>
        <v>0</v>
      </c>
      <c r="AD52" s="294"/>
    </row>
    <row r="53" spans="1:36" ht="19.5" thickBot="1" x14ac:dyDescent="0.3">
      <c r="A53" s="986">
        <v>52</v>
      </c>
      <c r="B53" s="1500"/>
      <c r="C53" s="1500"/>
      <c r="D53" s="979">
        <v>5272</v>
      </c>
      <c r="E53" s="980">
        <v>1851</v>
      </c>
      <c r="F53" s="981">
        <v>102744</v>
      </c>
      <c r="G53" s="982" t="s">
        <v>57</v>
      </c>
      <c r="H53" s="983" t="s">
        <v>109</v>
      </c>
      <c r="I53" s="1126">
        <v>3</v>
      </c>
      <c r="J53" s="1156">
        <v>4199020</v>
      </c>
      <c r="K53" s="1156">
        <f t="shared" si="3"/>
        <v>0</v>
      </c>
      <c r="L53" s="1156" t="s">
        <v>157</v>
      </c>
      <c r="M53" s="1057">
        <v>45735</v>
      </c>
      <c r="N53" s="984" t="s">
        <v>395</v>
      </c>
      <c r="O53" s="1238"/>
      <c r="P53" s="1239"/>
      <c r="Q53" s="1235"/>
      <c r="R53" s="1235"/>
      <c r="S53" s="1236">
        <f>1958700</f>
        <v>1958700</v>
      </c>
      <c r="T53" s="1236">
        <f>J53-S53</f>
        <v>2240320</v>
      </c>
      <c r="U53" s="1235"/>
      <c r="V53" s="1235"/>
      <c r="W53" s="1235"/>
      <c r="X53" s="1235"/>
      <c r="Y53" s="1235"/>
      <c r="Z53" s="1235"/>
      <c r="AA53" s="1237"/>
      <c r="AB53" s="985">
        <f t="shared" si="2"/>
        <v>4199020</v>
      </c>
      <c r="AC53" s="985">
        <f t="shared" si="4"/>
        <v>0</v>
      </c>
      <c r="AD53" s="294"/>
      <c r="AE53" s="294"/>
    </row>
    <row r="54" spans="1:36" s="280" customFormat="1" ht="112.5" customHeight="1" thickBot="1" x14ac:dyDescent="0.3">
      <c r="A54" s="1032">
        <v>53</v>
      </c>
      <c r="B54" s="995" t="s">
        <v>389</v>
      </c>
      <c r="C54" s="995">
        <v>2026</v>
      </c>
      <c r="D54" s="996" t="s">
        <v>451</v>
      </c>
      <c r="E54" s="997" t="s">
        <v>425</v>
      </c>
      <c r="F54" s="998">
        <v>103482</v>
      </c>
      <c r="G54" s="999" t="s">
        <v>393</v>
      </c>
      <c r="H54" s="1000" t="s">
        <v>394</v>
      </c>
      <c r="I54" s="1127">
        <v>4</v>
      </c>
      <c r="J54" s="1157">
        <v>3155150</v>
      </c>
      <c r="K54" s="1157">
        <f t="shared" si="3"/>
        <v>3155150</v>
      </c>
      <c r="L54" s="1157" t="s">
        <v>157</v>
      </c>
      <c r="M54" s="1001">
        <v>46292</v>
      </c>
      <c r="N54" s="1002" t="s">
        <v>156</v>
      </c>
      <c r="O54" s="1232" t="s">
        <v>444</v>
      </c>
      <c r="P54" s="1232"/>
      <c r="Q54" s="1233"/>
      <c r="R54" s="1233"/>
      <c r="S54" s="1226"/>
      <c r="T54" s="1226"/>
      <c r="U54" s="1226"/>
      <c r="V54" s="1226"/>
      <c r="W54" s="1226"/>
      <c r="X54" s="1226"/>
      <c r="Y54" s="1226">
        <f>J54</f>
        <v>3155150</v>
      </c>
      <c r="Z54" s="1226"/>
      <c r="AA54" s="1234"/>
      <c r="AB54" s="1004">
        <f t="shared" si="2"/>
        <v>3155150</v>
      </c>
      <c r="AC54" s="1003">
        <f t="shared" si="4"/>
        <v>0</v>
      </c>
      <c r="AD54" s="778"/>
      <c r="AE54" s="778"/>
    </row>
    <row r="55" spans="1:36" s="238" customFormat="1" x14ac:dyDescent="0.25">
      <c r="A55" s="1031">
        <v>54</v>
      </c>
      <c r="B55" s="1501" t="s">
        <v>63</v>
      </c>
      <c r="C55" s="1501">
        <v>2025</v>
      </c>
      <c r="D55" s="1509">
        <v>6318</v>
      </c>
      <c r="E55" s="1507" t="s">
        <v>376</v>
      </c>
      <c r="F55" s="988">
        <v>103123</v>
      </c>
      <c r="G55" s="1475" t="s">
        <v>135</v>
      </c>
      <c r="H55" s="989" t="s">
        <v>353</v>
      </c>
      <c r="I55" s="1128">
        <v>2</v>
      </c>
      <c r="J55" s="1158">
        <v>904000</v>
      </c>
      <c r="K55" s="1158">
        <f t="shared" si="3"/>
        <v>0</v>
      </c>
      <c r="L55" s="1158" t="s">
        <v>422</v>
      </c>
      <c r="M55" s="1058">
        <v>45943</v>
      </c>
      <c r="N55" s="990" t="s">
        <v>158</v>
      </c>
      <c r="O55" s="991" t="s">
        <v>427</v>
      </c>
      <c r="P55" s="991"/>
      <c r="Q55" s="916">
        <f>J55</f>
        <v>904000</v>
      </c>
      <c r="R55" s="992"/>
      <c r="S55" s="992"/>
      <c r="T55" s="992"/>
      <c r="U55" s="992"/>
      <c r="V55" s="992"/>
      <c r="W55" s="992"/>
      <c r="X55" s="992"/>
      <c r="Y55" s="992"/>
      <c r="Z55" s="992"/>
      <c r="AA55" s="993"/>
      <c r="AB55" s="994">
        <f t="shared" si="2"/>
        <v>904000</v>
      </c>
      <c r="AC55" s="994">
        <f t="shared" si="4"/>
        <v>0</v>
      </c>
      <c r="AD55" s="294"/>
      <c r="AE55" s="294"/>
      <c r="AF55" s="778"/>
      <c r="AG55" s="280"/>
      <c r="AH55" s="280"/>
      <c r="AI55" s="280"/>
      <c r="AJ55" s="280"/>
    </row>
    <row r="56" spans="1:36" s="238" customFormat="1" x14ac:dyDescent="0.25">
      <c r="A56" s="986">
        <v>55</v>
      </c>
      <c r="B56" s="1501"/>
      <c r="C56" s="1501"/>
      <c r="D56" s="1509"/>
      <c r="E56" s="1507"/>
      <c r="F56" s="770">
        <v>103126</v>
      </c>
      <c r="G56" s="1475"/>
      <c r="H56" s="239" t="s">
        <v>353</v>
      </c>
      <c r="I56" s="1129">
        <v>1</v>
      </c>
      <c r="J56" s="1159">
        <v>452000</v>
      </c>
      <c r="K56" s="1159">
        <f t="shared" si="3"/>
        <v>0</v>
      </c>
      <c r="L56" s="1159" t="s">
        <v>422</v>
      </c>
      <c r="M56" s="409">
        <v>45946</v>
      </c>
      <c r="N56" s="912" t="s">
        <v>158</v>
      </c>
      <c r="O56" s="901" t="s">
        <v>427</v>
      </c>
      <c r="P56" s="901"/>
      <c r="Q56" s="901"/>
      <c r="R56" s="917">
        <f>J56</f>
        <v>452000</v>
      </c>
      <c r="S56" s="771"/>
      <c r="T56" s="771"/>
      <c r="U56" s="771"/>
      <c r="V56" s="771"/>
      <c r="W56" s="771"/>
      <c r="X56" s="771"/>
      <c r="Y56" s="771"/>
      <c r="Z56" s="771"/>
      <c r="AA56" s="823"/>
      <c r="AB56" s="802">
        <f t="shared" si="2"/>
        <v>452000</v>
      </c>
      <c r="AC56" s="802">
        <f t="shared" si="4"/>
        <v>0</v>
      </c>
      <c r="AD56" s="294"/>
      <c r="AE56" s="294"/>
      <c r="AF56" s="778"/>
      <c r="AG56" s="280"/>
      <c r="AH56" s="280"/>
      <c r="AI56" s="280"/>
      <c r="AJ56" s="280"/>
    </row>
    <row r="57" spans="1:36" s="238" customFormat="1" x14ac:dyDescent="0.25">
      <c r="A57" s="986">
        <v>56</v>
      </c>
      <c r="B57" s="1501"/>
      <c r="C57" s="1501"/>
      <c r="D57" s="1510"/>
      <c r="E57" s="1508"/>
      <c r="F57" s="770">
        <v>103127</v>
      </c>
      <c r="G57" s="1476"/>
      <c r="H57" s="239" t="s">
        <v>353</v>
      </c>
      <c r="I57" s="1129">
        <v>1</v>
      </c>
      <c r="J57" s="1159">
        <v>452000</v>
      </c>
      <c r="K57" s="1159">
        <f t="shared" si="3"/>
        <v>0</v>
      </c>
      <c r="L57" s="1159" t="s">
        <v>422</v>
      </c>
      <c r="M57" s="1056">
        <v>45946</v>
      </c>
      <c r="N57" s="913" t="s">
        <v>158</v>
      </c>
      <c r="O57" s="902" t="s">
        <v>427</v>
      </c>
      <c r="P57" s="902"/>
      <c r="Q57" s="902"/>
      <c r="R57" s="975">
        <f>J57</f>
        <v>452000</v>
      </c>
      <c r="S57" s="771"/>
      <c r="T57" s="773"/>
      <c r="U57" s="773"/>
      <c r="V57" s="773"/>
      <c r="W57" s="773"/>
      <c r="X57" s="773"/>
      <c r="Y57" s="773"/>
      <c r="Z57" s="773"/>
      <c r="AA57" s="824"/>
      <c r="AB57" s="803">
        <f t="shared" si="2"/>
        <v>452000</v>
      </c>
      <c r="AC57" s="803">
        <f t="shared" si="4"/>
        <v>0</v>
      </c>
      <c r="AD57" s="294"/>
      <c r="AE57" s="294"/>
      <c r="AF57" s="778"/>
      <c r="AG57" s="280"/>
      <c r="AH57" s="280"/>
      <c r="AI57" s="280"/>
      <c r="AJ57" s="280"/>
    </row>
    <row r="58" spans="1:36" s="238" customFormat="1" ht="38.25" thickBot="1" x14ac:dyDescent="0.3">
      <c r="A58" s="986">
        <v>57</v>
      </c>
      <c r="B58" s="1501"/>
      <c r="C58" s="1501"/>
      <c r="D58" s="1006">
        <v>5786</v>
      </c>
      <c r="E58" s="1181">
        <v>1905</v>
      </c>
      <c r="F58" s="1007">
        <v>102640</v>
      </c>
      <c r="G58" s="1008" t="s">
        <v>98</v>
      </c>
      <c r="H58" s="1009" t="s">
        <v>42</v>
      </c>
      <c r="I58" s="1130">
        <v>1</v>
      </c>
      <c r="J58" s="1160">
        <f>1295000</f>
        <v>1295000</v>
      </c>
      <c r="K58" s="1160">
        <f>J58-SUM(P58:U58)</f>
        <v>0</v>
      </c>
      <c r="L58" s="1160" t="s">
        <v>157</v>
      </c>
      <c r="M58" s="1056">
        <v>45930</v>
      </c>
      <c r="N58" s="913" t="s">
        <v>395</v>
      </c>
      <c r="O58" s="902" t="s">
        <v>388</v>
      </c>
      <c r="P58" s="902"/>
      <c r="Q58" s="773"/>
      <c r="R58" s="773"/>
      <c r="S58" s="773"/>
      <c r="T58" s="773"/>
      <c r="U58" s="975">
        <f>J58</f>
        <v>1295000</v>
      </c>
      <c r="V58" s="773"/>
      <c r="W58" s="773"/>
      <c r="X58" s="773"/>
      <c r="Y58" s="773"/>
      <c r="Z58" s="773"/>
      <c r="AA58" s="824"/>
      <c r="AB58" s="803">
        <f t="shared" si="2"/>
        <v>1295000</v>
      </c>
      <c r="AC58" s="803">
        <f t="shared" si="4"/>
        <v>0</v>
      </c>
      <c r="AD58" s="294"/>
      <c r="AE58" s="294"/>
      <c r="AF58" s="778"/>
      <c r="AG58" s="280"/>
      <c r="AH58" s="280"/>
      <c r="AI58" s="280"/>
      <c r="AJ58" s="280"/>
    </row>
    <row r="59" spans="1:36" s="778" customFormat="1" ht="24" customHeight="1" x14ac:dyDescent="0.25">
      <c r="A59" s="1535">
        <v>58</v>
      </c>
      <c r="B59" s="1532" t="s">
        <v>396</v>
      </c>
      <c r="C59" s="1532">
        <v>2026</v>
      </c>
      <c r="D59" s="1552">
        <v>9108</v>
      </c>
      <c r="E59" s="1201">
        <v>2138</v>
      </c>
      <c r="F59" s="1538">
        <v>103469</v>
      </c>
      <c r="G59" s="1541" t="s">
        <v>397</v>
      </c>
      <c r="H59" s="1223" t="s">
        <v>353</v>
      </c>
      <c r="I59" s="1131">
        <v>5</v>
      </c>
      <c r="J59" s="1161">
        <f>908200*I59</f>
        <v>4541000</v>
      </c>
      <c r="K59" s="1161">
        <f t="shared" si="3"/>
        <v>4541000</v>
      </c>
      <c r="L59" s="1161" t="s">
        <v>157</v>
      </c>
      <c r="M59" s="1016">
        <v>45915</v>
      </c>
      <c r="N59" s="1028" t="s">
        <v>156</v>
      </c>
      <c r="O59" s="1494" t="s">
        <v>433</v>
      </c>
      <c r="P59" s="1025"/>
      <c r="Q59" s="1019"/>
      <c r="R59" s="1019"/>
      <c r="S59" s="1019"/>
      <c r="T59" s="1019"/>
      <c r="U59" s="1019"/>
      <c r="V59" s="1019"/>
      <c r="W59" s="1019"/>
      <c r="X59" s="1216">
        <f>J59</f>
        <v>4541000</v>
      </c>
      <c r="Y59" s="1019"/>
      <c r="Z59" s="1019"/>
      <c r="AA59" s="1020"/>
      <c r="AB59" s="1010">
        <f t="shared" si="2"/>
        <v>4541000</v>
      </c>
      <c r="AC59" s="1011">
        <f t="shared" si="4"/>
        <v>0</v>
      </c>
      <c r="AG59" s="280"/>
      <c r="AH59" s="280"/>
      <c r="AI59" s="280"/>
      <c r="AJ59" s="280"/>
    </row>
    <row r="60" spans="1:36" s="778" customFormat="1" x14ac:dyDescent="0.25">
      <c r="A60" s="1536"/>
      <c r="B60" s="1533"/>
      <c r="C60" s="1533"/>
      <c r="D60" s="1553"/>
      <c r="E60" s="1202"/>
      <c r="F60" s="1539"/>
      <c r="G60" s="1542"/>
      <c r="H60" s="1224" t="s">
        <v>403</v>
      </c>
      <c r="I60" s="1132">
        <v>1</v>
      </c>
      <c r="J60" s="1162">
        <f>873400*I60</f>
        <v>873400</v>
      </c>
      <c r="K60" s="1162">
        <f t="shared" si="3"/>
        <v>873400</v>
      </c>
      <c r="L60" s="1162" t="s">
        <v>157</v>
      </c>
      <c r="M60" s="1017">
        <v>45915</v>
      </c>
      <c r="N60" s="1029" t="s">
        <v>156</v>
      </c>
      <c r="O60" s="1495"/>
      <c r="P60" s="1026"/>
      <c r="Q60" s="1021"/>
      <c r="R60" s="1021"/>
      <c r="S60" s="1021"/>
      <c r="T60" s="1021"/>
      <c r="U60" s="1021"/>
      <c r="V60" s="1021"/>
      <c r="W60" s="1021"/>
      <c r="X60" s="1217">
        <f>J60</f>
        <v>873400</v>
      </c>
      <c r="Y60" s="1021"/>
      <c r="Z60" s="1021"/>
      <c r="AA60" s="1022"/>
      <c r="AB60" s="1012">
        <f t="shared" si="2"/>
        <v>873400</v>
      </c>
      <c r="AC60" s="1013">
        <f t="shared" si="4"/>
        <v>0</v>
      </c>
      <c r="AG60" s="280"/>
      <c r="AH60" s="280"/>
      <c r="AI60" s="280"/>
      <c r="AJ60" s="280"/>
    </row>
    <row r="61" spans="1:36" s="778" customFormat="1" x14ac:dyDescent="0.25">
      <c r="A61" s="1536"/>
      <c r="B61" s="1533"/>
      <c r="C61" s="1533"/>
      <c r="D61" s="1553"/>
      <c r="E61" s="1202">
        <v>2139</v>
      </c>
      <c r="F61" s="1539"/>
      <c r="G61" s="1542"/>
      <c r="H61" s="1224" t="s">
        <v>398</v>
      </c>
      <c r="I61" s="1132">
        <v>3</v>
      </c>
      <c r="J61" s="1162">
        <f>503700*I61</f>
        <v>1511100</v>
      </c>
      <c r="K61" s="1162">
        <f t="shared" si="3"/>
        <v>1511100</v>
      </c>
      <c r="L61" s="1162" t="s">
        <v>157</v>
      </c>
      <c r="M61" s="1017">
        <v>45915</v>
      </c>
      <c r="N61" s="1029" t="s">
        <v>156</v>
      </c>
      <c r="O61" s="1495"/>
      <c r="P61" s="1026"/>
      <c r="Q61" s="1021"/>
      <c r="R61" s="1021"/>
      <c r="S61" s="1021"/>
      <c r="T61" s="1021"/>
      <c r="U61" s="1021"/>
      <c r="V61" s="1021"/>
      <c r="W61" s="1021"/>
      <c r="X61" s="1217">
        <f>J61</f>
        <v>1511100</v>
      </c>
      <c r="Y61" s="1021"/>
      <c r="Z61" s="1021"/>
      <c r="AA61" s="1022"/>
      <c r="AB61" s="1012">
        <f t="shared" si="2"/>
        <v>1511100</v>
      </c>
      <c r="AC61" s="1013">
        <f t="shared" si="4"/>
        <v>0</v>
      </c>
      <c r="AG61" s="280"/>
      <c r="AH61" s="280"/>
      <c r="AI61" s="280"/>
      <c r="AJ61" s="280"/>
    </row>
    <row r="62" spans="1:36" s="778" customFormat="1" ht="18.75" customHeight="1" x14ac:dyDescent="0.25">
      <c r="A62" s="1536"/>
      <c r="B62" s="1533"/>
      <c r="C62" s="1533"/>
      <c r="D62" s="1553"/>
      <c r="E62" s="1202"/>
      <c r="F62" s="1539"/>
      <c r="G62" s="1542"/>
      <c r="H62" s="1224" t="s">
        <v>399</v>
      </c>
      <c r="I62" s="1132">
        <v>2</v>
      </c>
      <c r="J62" s="1162">
        <f>391650*I62</f>
        <v>783300</v>
      </c>
      <c r="K62" s="1162">
        <f t="shared" si="3"/>
        <v>783300</v>
      </c>
      <c r="L62" s="1162" t="s">
        <v>157</v>
      </c>
      <c r="M62" s="1017">
        <v>45915</v>
      </c>
      <c r="N62" s="1029" t="s">
        <v>156</v>
      </c>
      <c r="O62" s="1495"/>
      <c r="P62" s="1026"/>
      <c r="Q62" s="1021"/>
      <c r="R62" s="1021"/>
      <c r="S62" s="1021"/>
      <c r="T62" s="1021"/>
      <c r="U62" s="1021"/>
      <c r="V62" s="1021"/>
      <c r="W62" s="1021"/>
      <c r="X62" s="1217">
        <f>J62</f>
        <v>783300</v>
      </c>
      <c r="Y62" s="1021"/>
      <c r="Z62" s="1021"/>
      <c r="AA62" s="1022"/>
      <c r="AB62" s="1012">
        <f t="shared" si="2"/>
        <v>783300</v>
      </c>
      <c r="AC62" s="1013">
        <f t="shared" si="4"/>
        <v>0</v>
      </c>
      <c r="AG62" s="280"/>
      <c r="AH62" s="280"/>
      <c r="AI62" s="280"/>
      <c r="AJ62" s="280"/>
    </row>
    <row r="63" spans="1:36" s="778" customFormat="1" ht="19.5" customHeight="1" thickBot="1" x14ac:dyDescent="0.3">
      <c r="A63" s="1537"/>
      <c r="B63" s="1534"/>
      <c r="C63" s="1534"/>
      <c r="D63" s="1554"/>
      <c r="E63" s="1203"/>
      <c r="F63" s="1540"/>
      <c r="G63" s="1543"/>
      <c r="H63" s="1225" t="s">
        <v>400</v>
      </c>
      <c r="I63" s="1133">
        <v>1</v>
      </c>
      <c r="J63" s="1163">
        <f>161200+30000</f>
        <v>191200</v>
      </c>
      <c r="K63" s="1163">
        <f t="shared" si="3"/>
        <v>191200</v>
      </c>
      <c r="L63" s="1163" t="s">
        <v>157</v>
      </c>
      <c r="M63" s="1018">
        <v>45915</v>
      </c>
      <c r="N63" s="1030" t="s">
        <v>156</v>
      </c>
      <c r="O63" s="1496"/>
      <c r="P63" s="1027"/>
      <c r="Q63" s="1023"/>
      <c r="R63" s="1023"/>
      <c r="S63" s="1023"/>
      <c r="T63" s="1023"/>
      <c r="U63" s="1023"/>
      <c r="V63" s="1023"/>
      <c r="W63" s="1023"/>
      <c r="X63" s="1218">
        <f>J63</f>
        <v>191200</v>
      </c>
      <c r="Y63" s="1023"/>
      <c r="Z63" s="1023"/>
      <c r="AA63" s="1024"/>
      <c r="AB63" s="1014">
        <f t="shared" si="2"/>
        <v>191200</v>
      </c>
      <c r="AC63" s="1015">
        <f t="shared" si="4"/>
        <v>0</v>
      </c>
      <c r="AG63" s="280"/>
      <c r="AH63" s="280"/>
      <c r="AI63" s="280"/>
      <c r="AJ63" s="280"/>
    </row>
    <row r="64" spans="1:36" s="778" customFormat="1" ht="57" thickBot="1" x14ac:dyDescent="0.3">
      <c r="A64" s="1032">
        <v>59</v>
      </c>
      <c r="B64" s="1186" t="s">
        <v>445</v>
      </c>
      <c r="C64" s="1186">
        <v>2026</v>
      </c>
      <c r="D64" s="1187" t="s">
        <v>426</v>
      </c>
      <c r="E64" s="1188"/>
      <c r="F64" s="1189">
        <v>103534</v>
      </c>
      <c r="G64" s="1190" t="s">
        <v>419</v>
      </c>
      <c r="H64" s="1191" t="s">
        <v>420</v>
      </c>
      <c r="I64" s="1192">
        <v>15</v>
      </c>
      <c r="J64" s="1193">
        <v>14940675</v>
      </c>
      <c r="K64" s="1193">
        <f t="shared" si="3"/>
        <v>14940675</v>
      </c>
      <c r="L64" s="1193" t="s">
        <v>422</v>
      </c>
      <c r="M64" s="1194">
        <v>46622</v>
      </c>
      <c r="N64" s="1195" t="s">
        <v>156</v>
      </c>
      <c r="O64" s="1196"/>
      <c r="P64" s="1196"/>
      <c r="Q64" s="1197"/>
      <c r="R64" s="1197"/>
      <c r="S64" s="1197"/>
      <c r="T64" s="1197"/>
      <c r="U64" s="1197"/>
      <c r="V64" s="1197"/>
      <c r="W64" s="1197"/>
      <c r="X64" s="1197"/>
      <c r="Y64" s="1197"/>
      <c r="Z64" s="1197"/>
      <c r="AA64" s="1198"/>
      <c r="AB64" s="1199">
        <f>SUM(P64:AA64)</f>
        <v>0</v>
      </c>
      <c r="AC64" s="1200">
        <f t="shared" si="4"/>
        <v>14940675</v>
      </c>
      <c r="AG64" s="280"/>
      <c r="AH64" s="280"/>
      <c r="AI64" s="280"/>
      <c r="AJ64" s="280"/>
    </row>
    <row r="65" spans="1:37" ht="19.5" thickBot="1" x14ac:dyDescent="0.3">
      <c r="A65" s="1526" t="s">
        <v>146</v>
      </c>
      <c r="B65" s="1527"/>
      <c r="C65" s="1527"/>
      <c r="D65" s="1527"/>
      <c r="E65" s="1527"/>
      <c r="F65" s="1527"/>
      <c r="G65" s="1527"/>
      <c r="H65" s="1527"/>
      <c r="I65" s="1134">
        <f>SUM(I2:I64)</f>
        <v>248</v>
      </c>
      <c r="J65" s="825">
        <f>SUM(J2:J64)</f>
        <v>227846819.70999998</v>
      </c>
      <c r="K65" s="825">
        <f>SUM(K2:K64)</f>
        <v>165684460</v>
      </c>
      <c r="L65" s="1206"/>
      <c r="M65" s="1473" t="str">
        <f>"Completed: "&amp;COUNTIF(   N:N,"Completed")&amp;CHAR(10     )&amp;
                    "     Pending: "&amp;COUNTIF(N:N,"Pending")&amp;CHAR(10)     &amp;
                       "     In Progress: "&amp;COUNTIF(N:N,"In Progress")</f>
        <v>Completed: 20
     Pending: 1
     In Progress: 30</v>
      </c>
      <c r="N65" s="1474"/>
      <c r="O65" s="903">
        <f>SUM(O2:O58)</f>
        <v>0</v>
      </c>
      <c r="P65" s="903">
        <f t="shared" ref="P65:AA65" si="5">SUM(P2:P58)</f>
        <v>5072175</v>
      </c>
      <c r="Q65" s="826">
        <f t="shared" si="5"/>
        <v>29199200</v>
      </c>
      <c r="R65" s="826">
        <f t="shared" si="5"/>
        <v>10074773.710000001</v>
      </c>
      <c r="S65" s="826">
        <f t="shared" si="5"/>
        <v>3698600</v>
      </c>
      <c r="T65" s="826">
        <f t="shared" si="5"/>
        <v>12739611</v>
      </c>
      <c r="U65" s="826">
        <f t="shared" si="5"/>
        <v>2011000</v>
      </c>
      <c r="V65" s="826">
        <f t="shared" si="5"/>
        <v>22211069</v>
      </c>
      <c r="W65" s="826">
        <f t="shared" si="5"/>
        <v>32658100</v>
      </c>
      <c r="X65" s="826">
        <f t="shared" si="5"/>
        <v>36342750</v>
      </c>
      <c r="Y65" s="826">
        <f t="shared" si="5"/>
        <v>10010150</v>
      </c>
      <c r="Z65" s="826">
        <f t="shared" si="5"/>
        <v>1500000</v>
      </c>
      <c r="AA65" s="929">
        <f t="shared" si="5"/>
        <v>0</v>
      </c>
      <c r="AB65" s="943">
        <f>SUM(AB2:AB64)</f>
        <v>173417428.70999998</v>
      </c>
      <c r="AC65" s="931">
        <f>SUM(AC2:AC64)</f>
        <v>54429391</v>
      </c>
      <c r="AD65" s="294"/>
      <c r="AG65" s="279"/>
    </row>
    <row r="66" spans="1:37" ht="20.25" customHeight="1" thickBot="1" x14ac:dyDescent="0.3">
      <c r="A66" s="1048"/>
      <c r="B66" s="1049"/>
      <c r="C66" s="1049"/>
      <c r="D66" s="1049"/>
      <c r="E66" s="1179"/>
      <c r="F66" s="1049"/>
      <c r="G66" s="1049"/>
      <c r="H66" s="1049"/>
      <c r="I66" s="1049"/>
      <c r="J66" s="1049"/>
      <c r="K66" s="1049"/>
      <c r="L66" s="1204"/>
      <c r="M66" s="1049"/>
      <c r="N66" s="1049"/>
      <c r="O66" s="1210"/>
      <c r="P66" s="1049"/>
      <c r="Q66" s="1049"/>
      <c r="R66" s="1049"/>
      <c r="S66" s="1049"/>
      <c r="T66" s="1049"/>
      <c r="U66" s="1049"/>
      <c r="V66" s="1049"/>
      <c r="W66" s="1049"/>
      <c r="X66" s="1049"/>
      <c r="Y66" s="1049"/>
      <c r="Z66" s="1049"/>
      <c r="AA66" s="1049"/>
      <c r="AB66" s="1049"/>
      <c r="AC66" s="1050"/>
      <c r="AD66" s="294"/>
    </row>
    <row r="67" spans="1:37" ht="29.25" thickBot="1" x14ac:dyDescent="0.3">
      <c r="A67" s="1544"/>
      <c r="B67" s="1545"/>
      <c r="C67" s="1545"/>
      <c r="D67" s="1545"/>
      <c r="E67" s="1545"/>
      <c r="F67" s="1545"/>
      <c r="G67" s="1545"/>
      <c r="H67" s="1545"/>
      <c r="I67" s="1546"/>
      <c r="J67" s="857" t="s">
        <v>17</v>
      </c>
      <c r="K67" s="858" t="s">
        <v>18</v>
      </c>
      <c r="L67" s="1207"/>
      <c r="M67" s="1492" t="s">
        <v>381</v>
      </c>
      <c r="N67" s="1530">
        <f>J68-K68</f>
        <v>62162359.709999979</v>
      </c>
      <c r="O67" s="1211"/>
      <c r="P67" s="928" t="s">
        <v>5</v>
      </c>
      <c r="Q67" s="926" t="s">
        <v>6</v>
      </c>
      <c r="R67" s="928" t="s">
        <v>7</v>
      </c>
      <c r="S67" s="926" t="s">
        <v>8</v>
      </c>
      <c r="T67" s="928" t="s">
        <v>9</v>
      </c>
      <c r="U67" s="926" t="s">
        <v>10</v>
      </c>
      <c r="V67" s="928" t="s">
        <v>11</v>
      </c>
      <c r="W67" s="926" t="s">
        <v>12</v>
      </c>
      <c r="X67" s="928" t="s">
        <v>13</v>
      </c>
      <c r="Y67" s="928" t="s">
        <v>14</v>
      </c>
      <c r="Z67" s="926" t="s">
        <v>15</v>
      </c>
      <c r="AA67" s="928" t="s">
        <v>16</v>
      </c>
      <c r="AB67" s="924" t="s">
        <v>372</v>
      </c>
      <c r="AC67" s="747">
        <v>2027</v>
      </c>
      <c r="AD67" s="294"/>
    </row>
    <row r="68" spans="1:37" ht="29.25" thickBot="1" x14ac:dyDescent="0.3">
      <c r="A68" s="1547"/>
      <c r="B68" s="1548"/>
      <c r="C68" s="1548"/>
      <c r="D68" s="1548"/>
      <c r="E68" s="1548"/>
      <c r="F68" s="1548"/>
      <c r="G68" s="1548"/>
      <c r="H68" s="1548"/>
      <c r="I68" s="1549"/>
      <c r="J68" s="859">
        <f>J65</f>
        <v>227846819.70999998</v>
      </c>
      <c r="K68" s="860">
        <f>K65</f>
        <v>165684460</v>
      </c>
      <c r="L68" s="1208"/>
      <c r="M68" s="1493"/>
      <c r="N68" s="1531"/>
      <c r="O68" s="1212"/>
      <c r="P68" s="748">
        <f t="shared" ref="P68:AB68" si="6">P65</f>
        <v>5072175</v>
      </c>
      <c r="Q68" s="927">
        <f t="shared" si="6"/>
        <v>29199200</v>
      </c>
      <c r="R68" s="748">
        <f t="shared" si="6"/>
        <v>10074773.710000001</v>
      </c>
      <c r="S68" s="927">
        <f t="shared" si="6"/>
        <v>3698600</v>
      </c>
      <c r="T68" s="748">
        <f t="shared" si="6"/>
        <v>12739611</v>
      </c>
      <c r="U68" s="927">
        <f t="shared" si="6"/>
        <v>2011000</v>
      </c>
      <c r="V68" s="748">
        <f t="shared" si="6"/>
        <v>22211069</v>
      </c>
      <c r="W68" s="927">
        <f t="shared" si="6"/>
        <v>32658100</v>
      </c>
      <c r="X68" s="748">
        <f t="shared" si="6"/>
        <v>36342750</v>
      </c>
      <c r="Y68" s="748">
        <f t="shared" si="6"/>
        <v>10010150</v>
      </c>
      <c r="Z68" s="927">
        <f t="shared" si="6"/>
        <v>1500000</v>
      </c>
      <c r="AA68" s="748">
        <f t="shared" si="6"/>
        <v>0</v>
      </c>
      <c r="AB68" s="925">
        <f t="shared" si="6"/>
        <v>173417428.70999998</v>
      </c>
      <c r="AC68" s="242">
        <f>AC65</f>
        <v>54429391</v>
      </c>
      <c r="AD68" s="294"/>
    </row>
    <row r="69" spans="1:37" ht="19.5" thickBot="1" x14ac:dyDescent="0.3">
      <c r="A69" s="1048"/>
      <c r="B69" s="1049"/>
      <c r="C69" s="1049"/>
      <c r="D69" s="1049"/>
      <c r="E69" s="1179"/>
      <c r="F69" s="1049"/>
      <c r="G69" s="1049"/>
      <c r="H69" s="1049"/>
      <c r="I69" s="1049"/>
      <c r="J69" s="1049"/>
      <c r="K69" s="1049"/>
      <c r="L69" s="1204"/>
      <c r="M69" s="1049"/>
      <c r="N69" s="1049"/>
      <c r="O69" s="1210"/>
      <c r="P69" s="1049"/>
      <c r="Q69" s="1049"/>
      <c r="R69" s="1049"/>
      <c r="S69" s="1049"/>
      <c r="T69" s="1049"/>
      <c r="U69" s="1049"/>
      <c r="V69" s="1049"/>
      <c r="W69" s="1049"/>
      <c r="X69" s="1049"/>
      <c r="Y69" s="1049"/>
      <c r="Z69" s="1049"/>
      <c r="AA69" s="1049"/>
      <c r="AB69" s="1049"/>
      <c r="AC69" s="1050"/>
      <c r="AD69" s="294"/>
    </row>
    <row r="70" spans="1:37" ht="49.5" customHeight="1" thickBot="1" x14ac:dyDescent="0.3">
      <c r="A70" s="282"/>
      <c r="B70" s="282"/>
      <c r="C70" s="282"/>
      <c r="D70" s="282"/>
      <c r="E70" s="778"/>
      <c r="F70" s="282"/>
      <c r="G70" s="282"/>
      <c r="H70" s="282"/>
      <c r="I70" s="282"/>
      <c r="J70" s="282"/>
      <c r="K70" s="282"/>
      <c r="L70" s="282"/>
      <c r="V70" s="1439" t="s">
        <v>452</v>
      </c>
      <c r="W70" s="1440"/>
      <c r="X70" s="1440"/>
      <c r="Y70" s="1441"/>
      <c r="Z70" s="280"/>
      <c r="AA70" s="280"/>
      <c r="AB70" s="280"/>
      <c r="AC70" s="280"/>
      <c r="AD70" s="1467" t="s">
        <v>373</v>
      </c>
      <c r="AE70" s="1468"/>
      <c r="AF70" s="1468"/>
      <c r="AG70" s="1468"/>
      <c r="AH70" s="1468"/>
      <c r="AI70" s="1468"/>
      <c r="AJ70" s="1468"/>
      <c r="AK70" s="1469"/>
    </row>
    <row r="71" spans="1:37" ht="24" thickBot="1" x14ac:dyDescent="0.3">
      <c r="A71" s="282"/>
      <c r="B71" s="282"/>
      <c r="C71" s="282"/>
      <c r="D71" s="280"/>
      <c r="G71" s="280"/>
      <c r="H71" s="280"/>
      <c r="I71" s="280"/>
      <c r="U71" s="1244"/>
      <c r="V71" s="1424" t="s">
        <v>446</v>
      </c>
      <c r="W71" s="1425"/>
      <c r="X71" s="1412">
        <f>SUM(AF72:AF81)</f>
        <v>62162359.710000008</v>
      </c>
      <c r="Y71" s="1413"/>
      <c r="Z71" s="280"/>
      <c r="AA71" s="279"/>
      <c r="AB71" s="280"/>
      <c r="AC71" s="280"/>
      <c r="AD71" s="249" t="s">
        <v>19</v>
      </c>
      <c r="AE71" s="250" t="s">
        <v>46</v>
      </c>
      <c r="AF71" s="293" t="s">
        <v>364</v>
      </c>
      <c r="AG71" s="251" t="s">
        <v>369</v>
      </c>
      <c r="AH71" s="251" t="s">
        <v>392</v>
      </c>
      <c r="AI71" s="750" t="s">
        <v>47</v>
      </c>
      <c r="AJ71" s="249" t="s">
        <v>377</v>
      </c>
      <c r="AK71" s="939" t="s">
        <v>374</v>
      </c>
    </row>
    <row r="72" spans="1:37" ht="23.25" x14ac:dyDescent="0.25">
      <c r="A72" s="282"/>
      <c r="B72" s="282"/>
      <c r="C72" s="282"/>
      <c r="D72" s="280"/>
      <c r="G72" s="280"/>
      <c r="H72" s="930"/>
      <c r="I72" s="280"/>
      <c r="U72" s="1244"/>
      <c r="V72" s="1426"/>
      <c r="W72" s="1427"/>
      <c r="X72" s="1414"/>
      <c r="Y72" s="1415"/>
      <c r="Z72" s="280"/>
      <c r="AA72" s="280"/>
      <c r="AB72" s="280"/>
      <c r="AC72" s="280"/>
      <c r="AD72" s="252" t="s">
        <v>48</v>
      </c>
      <c r="AE72" s="253">
        <v>60000000</v>
      </c>
      <c r="AF72" s="805">
        <f>SUM(J2:J12)-SUM(K2:K12)</f>
        <v>28900541</v>
      </c>
      <c r="AG72" s="246">
        <f t="shared" ref="AG72:AG78" si="7">AH72-AF72</f>
        <v>54668900</v>
      </c>
      <c r="AH72" s="804">
        <f>SUM(AB2:AB12)</f>
        <v>83569441</v>
      </c>
      <c r="AI72" s="936">
        <f t="shared" ref="AI72:AI84" si="8">AH72/AE72</f>
        <v>1.3928240166666668</v>
      </c>
      <c r="AJ72" s="940">
        <f t="shared" ref="AJ72:AJ78" si="9">AF72/AE72</f>
        <v>0.48167568333333333</v>
      </c>
      <c r="AK72" s="959">
        <f>SUM(AC2:AC12)</f>
        <v>0</v>
      </c>
    </row>
    <row r="73" spans="1:37" ht="24" thickBot="1" x14ac:dyDescent="0.3">
      <c r="A73" s="282"/>
      <c r="B73" s="282"/>
      <c r="C73" s="282"/>
      <c r="D73" s="282"/>
      <c r="E73" s="778"/>
      <c r="F73" s="282"/>
      <c r="G73" s="280"/>
      <c r="H73" s="280"/>
      <c r="I73" s="280"/>
      <c r="U73" s="1244"/>
      <c r="V73" s="1428"/>
      <c r="W73" s="1429"/>
      <c r="X73" s="1416"/>
      <c r="Y73" s="1417"/>
      <c r="Z73" s="280"/>
      <c r="AA73" s="280"/>
      <c r="AB73" s="280"/>
      <c r="AC73" s="258"/>
      <c r="AD73" s="244" t="s">
        <v>51</v>
      </c>
      <c r="AE73" s="245">
        <v>25000000</v>
      </c>
      <c r="AF73" s="805">
        <f>SUM(J13:J33)-SUM(K13:K33)</f>
        <v>4377523.7100000083</v>
      </c>
      <c r="AG73" s="246">
        <f>AH73-AF73</f>
        <v>36573468.999999993</v>
      </c>
      <c r="AH73" s="804">
        <f>SUM(AB13:AB33)</f>
        <v>40950992.710000001</v>
      </c>
      <c r="AI73" s="937">
        <f t="shared" si="8"/>
        <v>1.6380397084</v>
      </c>
      <c r="AJ73" s="941">
        <f>AF73/AE73</f>
        <v>0.17510094840000034</v>
      </c>
      <c r="AK73" s="959">
        <f>SUM(AC13:AC33)</f>
        <v>32329366</v>
      </c>
    </row>
    <row r="74" spans="1:37" ht="23.25" x14ac:dyDescent="0.25">
      <c r="A74" s="282"/>
      <c r="B74" s="282"/>
      <c r="C74" s="282"/>
      <c r="D74" s="282"/>
      <c r="E74" s="778"/>
      <c r="F74" s="282"/>
      <c r="G74" s="282"/>
      <c r="H74" s="282"/>
      <c r="I74" s="282"/>
      <c r="J74" s="282"/>
      <c r="K74" s="282"/>
      <c r="L74" s="282"/>
      <c r="U74" s="1244"/>
      <c r="V74" s="1418" t="s">
        <v>447</v>
      </c>
      <c r="W74" s="1419"/>
      <c r="X74" s="1412">
        <f>SUM(AG72:AG81)</f>
        <v>111255069</v>
      </c>
      <c r="Y74" s="1413"/>
      <c r="Z74" s="280"/>
      <c r="AA74" s="280"/>
      <c r="AB74" s="280"/>
      <c r="AC74" s="280"/>
      <c r="AD74" s="244" t="s">
        <v>122</v>
      </c>
      <c r="AE74" s="245">
        <v>25000000</v>
      </c>
      <c r="AF74" s="246">
        <f>SUM(J34:J43)-SUM(K34:K43)</f>
        <v>20080275</v>
      </c>
      <c r="AG74" s="246">
        <f>AH74-AF74</f>
        <v>6025500</v>
      </c>
      <c r="AH74" s="804">
        <f>SUM(AB34:AB43)</f>
        <v>26105775</v>
      </c>
      <c r="AI74" s="937">
        <f t="shared" si="8"/>
        <v>1.0442309999999999</v>
      </c>
      <c r="AJ74" s="941">
        <f t="shared" si="9"/>
        <v>0.80321100000000001</v>
      </c>
      <c r="AK74" s="959">
        <f>SUM(AC34:AC43)</f>
        <v>6558850</v>
      </c>
    </row>
    <row r="75" spans="1:37" s="280" customFormat="1" ht="23.25" x14ac:dyDescent="0.25">
      <c r="A75" s="282"/>
      <c r="B75" s="282"/>
      <c r="C75" s="282"/>
      <c r="D75" s="282"/>
      <c r="E75" s="778"/>
      <c r="F75" s="282"/>
      <c r="G75" s="282"/>
      <c r="H75" s="282"/>
      <c r="I75" s="282"/>
      <c r="J75" s="282"/>
      <c r="K75" s="282"/>
      <c r="L75" s="282"/>
      <c r="M75" s="257"/>
      <c r="N75" s="258"/>
      <c r="O75" s="258"/>
      <c r="U75" s="1244"/>
      <c r="V75" s="1420"/>
      <c r="W75" s="1421"/>
      <c r="X75" s="1414"/>
      <c r="Y75" s="1415"/>
      <c r="AD75" s="244" t="s">
        <v>365</v>
      </c>
      <c r="AE75" s="245">
        <v>2500000</v>
      </c>
      <c r="AF75" s="246">
        <f>SUM(J49)-SUM(K49)</f>
        <v>0</v>
      </c>
      <c r="AG75" s="246">
        <f>AH75-AF75</f>
        <v>1500000</v>
      </c>
      <c r="AH75" s="804">
        <f>SUM(AB49)</f>
        <v>1500000</v>
      </c>
      <c r="AI75" s="937">
        <f t="shared" si="8"/>
        <v>0.6</v>
      </c>
      <c r="AJ75" s="941">
        <f t="shared" si="9"/>
        <v>0</v>
      </c>
      <c r="AK75" s="959">
        <f>SUM(AC49)</f>
        <v>0</v>
      </c>
    </row>
    <row r="76" spans="1:37" s="280" customFormat="1" ht="24" thickBot="1" x14ac:dyDescent="0.3">
      <c r="A76" s="282"/>
      <c r="B76" s="282"/>
      <c r="C76" s="282"/>
      <c r="D76" s="282"/>
      <c r="E76" s="778"/>
      <c r="F76" s="282"/>
      <c r="G76" s="282"/>
      <c r="H76" s="282"/>
      <c r="I76" s="282"/>
      <c r="J76" s="282"/>
      <c r="K76" s="282"/>
      <c r="L76" s="282"/>
      <c r="M76" s="257"/>
      <c r="N76" s="258"/>
      <c r="O76" s="258"/>
      <c r="U76" s="1244"/>
      <c r="V76" s="1422"/>
      <c r="W76" s="1423"/>
      <c r="X76" s="1416"/>
      <c r="Y76" s="1417"/>
      <c r="AD76" s="244" t="s">
        <v>352</v>
      </c>
      <c r="AE76" s="245">
        <v>1500000</v>
      </c>
      <c r="AF76" s="246">
        <f>SUM(J44:J48)-SUM(K44:K48)</f>
        <v>83000</v>
      </c>
      <c r="AG76" s="246">
        <f t="shared" si="7"/>
        <v>1432050</v>
      </c>
      <c r="AH76" s="804">
        <f>SUM(AB44:AB48)</f>
        <v>1515050</v>
      </c>
      <c r="AI76" s="937">
        <f t="shared" si="8"/>
        <v>1.0100333333333333</v>
      </c>
      <c r="AJ76" s="941">
        <f t="shared" si="9"/>
        <v>5.5333333333333332E-2</v>
      </c>
      <c r="AK76" s="959">
        <f>SUM(AC44:AC48)</f>
        <v>600500</v>
      </c>
    </row>
    <row r="77" spans="1:37" ht="24" thickBot="1" x14ac:dyDescent="0.3">
      <c r="A77" s="282"/>
      <c r="B77" s="282"/>
      <c r="C77" s="282"/>
      <c r="D77" s="282"/>
      <c r="E77" s="778"/>
      <c r="F77" s="282"/>
      <c r="G77" s="282"/>
      <c r="H77" s="282"/>
      <c r="I77" s="282"/>
      <c r="J77" s="282"/>
      <c r="K77" s="282"/>
      <c r="L77" s="282"/>
      <c r="U77" s="1244"/>
      <c r="V77" s="1244"/>
      <c r="W77" s="1244"/>
      <c r="X77" s="1244"/>
      <c r="Y77" s="1244"/>
      <c r="Z77" s="280"/>
      <c r="AA77" s="280"/>
      <c r="AB77" s="280"/>
      <c r="AC77" s="280"/>
      <c r="AD77" s="244" t="s">
        <v>62</v>
      </c>
      <c r="AE77" s="245">
        <v>5000000</v>
      </c>
      <c r="AF77" s="246">
        <f>SUM(J50:J53)-SUM(K50:K53)</f>
        <v>5618020</v>
      </c>
      <c r="AG77" s="246">
        <f t="shared" si="7"/>
        <v>0</v>
      </c>
      <c r="AH77" s="804">
        <f>SUM(AB50:AB53)</f>
        <v>5618020</v>
      </c>
      <c r="AI77" s="937">
        <f t="shared" si="8"/>
        <v>1.123604</v>
      </c>
      <c r="AJ77" s="941">
        <f t="shared" si="9"/>
        <v>1.123604</v>
      </c>
      <c r="AK77" s="959">
        <f>SUM(AC50:AC53)</f>
        <v>0</v>
      </c>
    </row>
    <row r="78" spans="1:37" ht="24" thickBot="1" x14ac:dyDescent="0.3">
      <c r="A78" s="282"/>
      <c r="B78" s="282"/>
      <c r="C78" s="282"/>
      <c r="D78" s="282"/>
      <c r="E78" s="778"/>
      <c r="F78" s="282"/>
      <c r="G78" s="282"/>
      <c r="H78" s="282"/>
      <c r="I78" s="282"/>
      <c r="J78" s="282"/>
      <c r="K78" s="282"/>
      <c r="L78" s="282"/>
      <c r="U78" s="1258" t="s">
        <v>448</v>
      </c>
      <c r="V78" s="1259" t="s">
        <v>364</v>
      </c>
      <c r="W78" s="1260" t="s">
        <v>47</v>
      </c>
      <c r="X78" s="1259" t="s">
        <v>449</v>
      </c>
      <c r="Y78" s="1260" t="s">
        <v>47</v>
      </c>
      <c r="Z78" s="280"/>
      <c r="AA78" s="280"/>
      <c r="AB78" s="280"/>
      <c r="AC78" s="280"/>
      <c r="AD78" s="244" t="s">
        <v>63</v>
      </c>
      <c r="AE78" s="245">
        <v>5000000</v>
      </c>
      <c r="AF78" s="246">
        <f>SUM(J55:J58)-SUM(K55:K58)</f>
        <v>3103000</v>
      </c>
      <c r="AG78" s="246">
        <f t="shared" si="7"/>
        <v>0</v>
      </c>
      <c r="AH78" s="804">
        <f>SUM(AB55:AB58)</f>
        <v>3103000</v>
      </c>
      <c r="AI78" s="937">
        <f t="shared" si="8"/>
        <v>0.62060000000000004</v>
      </c>
      <c r="AJ78" s="941">
        <f t="shared" si="9"/>
        <v>0.62060000000000004</v>
      </c>
      <c r="AK78" s="959">
        <f>SUM(AC55:AC58)</f>
        <v>0</v>
      </c>
    </row>
    <row r="79" spans="1:37" s="280" customFormat="1" ht="23.25" x14ac:dyDescent="0.25">
      <c r="A79" s="282"/>
      <c r="B79" s="282"/>
      <c r="C79" s="282"/>
      <c r="D79" s="282"/>
      <c r="E79" s="778"/>
      <c r="F79" s="282"/>
      <c r="G79" s="282"/>
      <c r="H79" s="282"/>
      <c r="I79" s="282"/>
      <c r="J79" s="282"/>
      <c r="K79" s="282"/>
      <c r="L79" s="282"/>
      <c r="M79" s="257"/>
      <c r="N79" s="258"/>
      <c r="O79" s="258"/>
      <c r="U79" s="1254" t="s">
        <v>48</v>
      </c>
      <c r="V79" s="1255">
        <v>28900541</v>
      </c>
      <c r="W79" s="1256">
        <f t="shared" ref="W79:W88" si="10">AI72</f>
        <v>1.3928240166666668</v>
      </c>
      <c r="X79" s="1255">
        <f t="shared" ref="X79:X88" si="11">AF97</f>
        <v>0</v>
      </c>
      <c r="Y79" s="1257">
        <v>0</v>
      </c>
      <c r="AD79" s="848" t="s">
        <v>389</v>
      </c>
      <c r="AE79" s="849">
        <v>2500000</v>
      </c>
      <c r="AF79" s="246">
        <f>SUM(J54)-SUM(K54)</f>
        <v>0</v>
      </c>
      <c r="AG79" s="246">
        <f>AH79-AF79</f>
        <v>3155150</v>
      </c>
      <c r="AH79" s="804">
        <f>SUM(AB54)</f>
        <v>3155150</v>
      </c>
      <c r="AI79" s="937">
        <f>AH79/AE79</f>
        <v>1.26206</v>
      </c>
      <c r="AJ79" s="941">
        <f>AF79/AE79</f>
        <v>0</v>
      </c>
      <c r="AK79" s="959">
        <f>SUM(AC54)</f>
        <v>0</v>
      </c>
    </row>
    <row r="80" spans="1:37" s="280" customFormat="1" ht="23.25" x14ac:dyDescent="0.25">
      <c r="A80" s="282"/>
      <c r="B80" s="282"/>
      <c r="C80" s="282"/>
      <c r="D80" s="282"/>
      <c r="E80" s="778"/>
      <c r="F80" s="282"/>
      <c r="G80" s="282"/>
      <c r="H80" s="282"/>
      <c r="I80" s="282"/>
      <c r="J80" s="282"/>
      <c r="K80" s="282"/>
      <c r="L80" s="282"/>
      <c r="M80" s="257"/>
      <c r="N80" s="258"/>
      <c r="O80" s="258"/>
      <c r="U80" s="1245" t="s">
        <v>51</v>
      </c>
      <c r="V80" s="1246">
        <v>4377523.7100000083</v>
      </c>
      <c r="W80" s="1247">
        <f t="shared" si="10"/>
        <v>1.6380397084</v>
      </c>
      <c r="X80" s="1246">
        <f t="shared" si="11"/>
        <v>43690889.710000001</v>
      </c>
      <c r="Y80" s="1249">
        <v>0.963415429106946</v>
      </c>
      <c r="AD80" s="848" t="s">
        <v>396</v>
      </c>
      <c r="AE80" s="849">
        <v>0</v>
      </c>
      <c r="AF80" s="246">
        <f>SUM(J59:J63)-SUM(K59:K63)</f>
        <v>0</v>
      </c>
      <c r="AG80" s="246">
        <f>AH80-AF80</f>
        <v>7900000</v>
      </c>
      <c r="AH80" s="804">
        <f>SUM(AB59:AB63)</f>
        <v>7900000</v>
      </c>
      <c r="AI80" s="937" t="e">
        <f>AH80/AE80</f>
        <v>#DIV/0!</v>
      </c>
      <c r="AJ80" s="941" t="e">
        <f>AF80/AE80</f>
        <v>#DIV/0!</v>
      </c>
      <c r="AK80" s="959">
        <f>SUM(AC59:AC63)</f>
        <v>0</v>
      </c>
    </row>
    <row r="81" spans="1:37" s="280" customFormat="1" ht="24" thickBot="1" x14ac:dyDescent="0.3">
      <c r="A81" s="282"/>
      <c r="B81" s="282"/>
      <c r="C81" s="282"/>
      <c r="D81" s="282"/>
      <c r="E81" s="778"/>
      <c r="F81" s="282"/>
      <c r="G81" s="282"/>
      <c r="H81" s="282"/>
      <c r="I81" s="282"/>
      <c r="J81" s="282"/>
      <c r="K81" s="282"/>
      <c r="L81" s="282"/>
      <c r="M81" s="257"/>
      <c r="N81" s="258"/>
      <c r="O81" s="258"/>
      <c r="U81" s="1245" t="s">
        <v>52</v>
      </c>
      <c r="V81" s="1246">
        <v>20080275</v>
      </c>
      <c r="W81" s="1247">
        <f t="shared" si="10"/>
        <v>1.0442309999999999</v>
      </c>
      <c r="X81" s="1246">
        <f t="shared" si="11"/>
        <v>1500000</v>
      </c>
      <c r="Y81" s="1248">
        <v>4.2432814710042434E-2</v>
      </c>
      <c r="AD81" s="848" t="s">
        <v>445</v>
      </c>
      <c r="AE81" s="849"/>
      <c r="AF81" s="246">
        <f>SUM(J64)-SUM(K64)</f>
        <v>0</v>
      </c>
      <c r="AG81" s="246">
        <f>AH81-AF81</f>
        <v>0</v>
      </c>
      <c r="AH81" s="804">
        <f>SUM(AB64)</f>
        <v>0</v>
      </c>
      <c r="AI81" s="937" t="e">
        <f>AH81/AE81</f>
        <v>#DIV/0!</v>
      </c>
      <c r="AJ81" s="941" t="e">
        <f>AF81/AE81</f>
        <v>#DIV/0!</v>
      </c>
      <c r="AK81" s="959">
        <f>SUM(AC64)</f>
        <v>14940675</v>
      </c>
    </row>
    <row r="82" spans="1:37" s="280" customFormat="1" ht="23.25" x14ac:dyDescent="0.25">
      <c r="A82" s="282"/>
      <c r="B82" s="282"/>
      <c r="C82" s="282"/>
      <c r="D82" s="282"/>
      <c r="E82" s="778"/>
      <c r="F82" s="282"/>
      <c r="G82" s="282"/>
      <c r="H82" s="282"/>
      <c r="I82" s="282"/>
      <c r="J82" s="282"/>
      <c r="K82" s="282"/>
      <c r="L82" s="282"/>
      <c r="M82" s="257"/>
      <c r="N82" s="258"/>
      <c r="O82" s="258"/>
      <c r="U82" s="1245" t="s">
        <v>365</v>
      </c>
      <c r="V82" s="1246">
        <v>0</v>
      </c>
      <c r="W82" s="1247">
        <f t="shared" si="10"/>
        <v>0.6</v>
      </c>
      <c r="X82" s="1246">
        <f t="shared" si="11"/>
        <v>1500000</v>
      </c>
      <c r="Y82" s="1248">
        <v>7.3710073710073709E-2</v>
      </c>
      <c r="AD82" s="243" t="s">
        <v>366</v>
      </c>
      <c r="AE82" s="944">
        <v>3500000</v>
      </c>
      <c r="AF82" s="1483"/>
      <c r="AG82" s="1484"/>
      <c r="AH82" s="1485"/>
      <c r="AI82" s="936">
        <f t="shared" si="8"/>
        <v>0</v>
      </c>
      <c r="AJ82" s="940">
        <f t="shared" ref="AJ82:AJ92" si="12">AF82/AE82</f>
        <v>0</v>
      </c>
      <c r="AK82" s="947"/>
    </row>
    <row r="83" spans="1:37" s="280" customFormat="1" ht="23.25" x14ac:dyDescent="0.25">
      <c r="A83" s="282"/>
      <c r="B83" s="282"/>
      <c r="C83" s="282"/>
      <c r="D83" s="282"/>
      <c r="E83" s="778"/>
      <c r="F83" s="282"/>
      <c r="G83" s="282"/>
      <c r="H83" s="282"/>
      <c r="I83" s="282"/>
      <c r="J83" s="282"/>
      <c r="K83" s="282"/>
      <c r="L83" s="282"/>
      <c r="M83" s="257"/>
      <c r="N83" s="258"/>
      <c r="O83" s="258"/>
      <c r="U83" s="1245" t="s">
        <v>352</v>
      </c>
      <c r="V83" s="1246">
        <v>0</v>
      </c>
      <c r="W83" s="1247">
        <f t="shared" si="10"/>
        <v>1.0100333333333333</v>
      </c>
      <c r="X83" s="1246">
        <f t="shared" si="11"/>
        <v>776300</v>
      </c>
      <c r="Y83" s="1248">
        <v>0.31052000000000002</v>
      </c>
      <c r="AD83" s="244" t="s">
        <v>366</v>
      </c>
      <c r="AE83" s="245">
        <v>2500000</v>
      </c>
      <c r="AF83" s="1486"/>
      <c r="AG83" s="1487"/>
      <c r="AH83" s="1488"/>
      <c r="AI83" s="937">
        <f t="shared" si="8"/>
        <v>0</v>
      </c>
      <c r="AJ83" s="941">
        <f t="shared" si="12"/>
        <v>0</v>
      </c>
      <c r="AK83" s="883"/>
    </row>
    <row r="84" spans="1:37" s="280" customFormat="1" ht="24" thickBot="1" x14ac:dyDescent="0.3">
      <c r="A84" s="282"/>
      <c r="B84" s="282"/>
      <c r="C84" s="282"/>
      <c r="D84" s="282"/>
      <c r="E84" s="778"/>
      <c r="F84" s="282"/>
      <c r="G84" s="282"/>
      <c r="H84" s="282"/>
      <c r="I84" s="282"/>
      <c r="J84" s="282"/>
      <c r="K84" s="282"/>
      <c r="L84" s="282"/>
      <c r="M84" s="257"/>
      <c r="N84" s="258"/>
      <c r="O84" s="258"/>
      <c r="U84" s="1245" t="s">
        <v>62</v>
      </c>
      <c r="V84" s="1246">
        <v>5618020</v>
      </c>
      <c r="W84" s="1247">
        <f t="shared" si="10"/>
        <v>1.123604</v>
      </c>
      <c r="X84" s="1246">
        <f t="shared" si="11"/>
        <v>0</v>
      </c>
      <c r="Y84" s="1248">
        <v>0</v>
      </c>
      <c r="AD84" s="945" t="s">
        <v>367</v>
      </c>
      <c r="AE84" s="946">
        <v>2500000</v>
      </c>
      <c r="AF84" s="1489"/>
      <c r="AG84" s="1490"/>
      <c r="AH84" s="1491"/>
      <c r="AI84" s="938">
        <f t="shared" si="8"/>
        <v>0</v>
      </c>
      <c r="AJ84" s="942">
        <f t="shared" si="12"/>
        <v>0</v>
      </c>
      <c r="AK84" s="948"/>
    </row>
    <row r="85" spans="1:37" s="280" customFormat="1" ht="24" thickBot="1" x14ac:dyDescent="0.3">
      <c r="A85" s="282"/>
      <c r="B85" s="282"/>
      <c r="C85" s="282"/>
      <c r="D85" s="282"/>
      <c r="E85" s="778"/>
      <c r="F85" s="282"/>
      <c r="G85" s="282"/>
      <c r="H85" s="282"/>
      <c r="I85" s="282"/>
      <c r="J85" s="282"/>
      <c r="K85" s="282"/>
      <c r="L85" s="282"/>
      <c r="M85" s="257"/>
      <c r="N85" s="258"/>
      <c r="O85" s="258"/>
      <c r="U85" s="1245" t="s">
        <v>63</v>
      </c>
      <c r="V85" s="1246">
        <v>1808000</v>
      </c>
      <c r="W85" s="1247">
        <f t="shared" si="10"/>
        <v>0.62060000000000004</v>
      </c>
      <c r="X85" s="1246">
        <f t="shared" si="11"/>
        <v>0</v>
      </c>
      <c r="Y85" s="1248">
        <v>0</v>
      </c>
      <c r="AD85" s="1464" t="s">
        <v>104</v>
      </c>
      <c r="AE85" s="1465"/>
      <c r="AF85" s="1465"/>
      <c r="AG85" s="1465"/>
      <c r="AH85" s="1465"/>
      <c r="AI85" s="1465"/>
      <c r="AJ85" s="1465"/>
      <c r="AK85" s="1466"/>
    </row>
    <row r="86" spans="1:37" s="280" customFormat="1" ht="23.25" x14ac:dyDescent="0.25">
      <c r="A86" s="282"/>
      <c r="B86" s="282"/>
      <c r="C86" s="282"/>
      <c r="D86" s="282"/>
      <c r="E86" s="778"/>
      <c r="F86" s="282"/>
      <c r="G86" s="282"/>
      <c r="H86" s="282"/>
      <c r="I86" s="282"/>
      <c r="J86" s="282"/>
      <c r="K86" s="282"/>
      <c r="L86" s="282"/>
      <c r="M86" s="257"/>
      <c r="N86" s="258"/>
      <c r="O86" s="258"/>
      <c r="U86" s="1245" t="s">
        <v>389</v>
      </c>
      <c r="V86" s="1246">
        <v>0</v>
      </c>
      <c r="W86" s="1247">
        <f t="shared" si="10"/>
        <v>1.26206</v>
      </c>
      <c r="X86" s="1246">
        <f t="shared" si="11"/>
        <v>3155150</v>
      </c>
      <c r="Y86" s="1248">
        <v>0.31551499999999999</v>
      </c>
      <c r="AD86" s="252" t="s">
        <v>101</v>
      </c>
      <c r="AE86" s="253">
        <v>3000000</v>
      </c>
      <c r="AF86" s="254"/>
      <c r="AG86" s="254"/>
      <c r="AH86" s="881"/>
      <c r="AI86" s="887">
        <f>AH86/AE86</f>
        <v>0</v>
      </c>
      <c r="AJ86" s="888">
        <f t="shared" si="12"/>
        <v>0</v>
      </c>
      <c r="AK86" s="883"/>
    </row>
    <row r="87" spans="1:37" s="280" customFormat="1" ht="23.25" x14ac:dyDescent="0.25">
      <c r="A87" s="282"/>
      <c r="B87" s="282"/>
      <c r="C87" s="282"/>
      <c r="D87" s="282"/>
      <c r="E87" s="778"/>
      <c r="F87" s="282"/>
      <c r="G87" s="282"/>
      <c r="H87" s="282"/>
      <c r="I87" s="282"/>
      <c r="J87" s="282"/>
      <c r="K87" s="282"/>
      <c r="L87" s="282"/>
      <c r="M87" s="257"/>
      <c r="N87" s="258"/>
      <c r="O87" s="258"/>
      <c r="U87" s="1245" t="s">
        <v>396</v>
      </c>
      <c r="V87" s="1246">
        <v>0</v>
      </c>
      <c r="W87" s="1247" t="e">
        <f t="shared" si="10"/>
        <v>#DIV/0!</v>
      </c>
      <c r="X87" s="1246">
        <f t="shared" si="11"/>
        <v>7900000</v>
      </c>
      <c r="Y87" s="1248" t="e">
        <v>#VALUE!</v>
      </c>
      <c r="AD87" s="244" t="s">
        <v>102</v>
      </c>
      <c r="AE87" s="245">
        <v>1500000</v>
      </c>
      <c r="AF87" s="254"/>
      <c r="AG87" s="254"/>
      <c r="AH87" s="881"/>
      <c r="AI87" s="889">
        <f>AH87/AE87</f>
        <v>0</v>
      </c>
      <c r="AJ87" s="890">
        <f t="shared" si="12"/>
        <v>0</v>
      </c>
      <c r="AK87" s="883"/>
    </row>
    <row r="88" spans="1:37" s="280" customFormat="1" ht="24" thickBot="1" x14ac:dyDescent="0.3">
      <c r="A88" s="282"/>
      <c r="B88" s="282"/>
      <c r="C88" s="282"/>
      <c r="D88" s="282"/>
      <c r="E88" s="778"/>
      <c r="F88" s="282"/>
      <c r="G88" s="282"/>
      <c r="H88" s="282"/>
      <c r="I88" s="282"/>
      <c r="J88" s="282"/>
      <c r="K88" s="282"/>
      <c r="L88" s="282"/>
      <c r="M88" s="257"/>
      <c r="N88" s="258"/>
      <c r="O88" s="258"/>
      <c r="U88" s="1250" t="s">
        <v>445</v>
      </c>
      <c r="V88" s="1251">
        <v>0</v>
      </c>
      <c r="W88" s="1252" t="e">
        <f t="shared" si="10"/>
        <v>#DIV/0!</v>
      </c>
      <c r="X88" s="1251">
        <f t="shared" si="11"/>
        <v>14940675</v>
      </c>
      <c r="Y88" s="1253" t="e">
        <v>#VALUE!</v>
      </c>
      <c r="AD88" s="848" t="s">
        <v>103</v>
      </c>
      <c r="AE88" s="245">
        <v>1500000</v>
      </c>
      <c r="AF88" s="850"/>
      <c r="AG88" s="850"/>
      <c r="AH88" s="949"/>
      <c r="AI88" s="891">
        <f>AH88/AE88</f>
        <v>0</v>
      </c>
      <c r="AJ88" s="886">
        <f t="shared" si="12"/>
        <v>0</v>
      </c>
      <c r="AK88" s="884"/>
    </row>
    <row r="89" spans="1:37" s="280" customFormat="1" ht="21.75" thickBot="1" x14ac:dyDescent="0.3">
      <c r="A89" s="282"/>
      <c r="B89" s="282"/>
      <c r="C89" s="282"/>
      <c r="D89" s="282"/>
      <c r="E89" s="778"/>
      <c r="F89" s="282"/>
      <c r="G89" s="282"/>
      <c r="H89" s="282"/>
      <c r="I89" s="282"/>
      <c r="J89" s="282"/>
      <c r="K89" s="282"/>
      <c r="L89" s="282"/>
      <c r="M89" s="257"/>
      <c r="N89" s="258"/>
      <c r="O89" s="258"/>
      <c r="U89" s="1261" t="s">
        <v>453</v>
      </c>
      <c r="V89" s="1262">
        <f>SUM(V79:V88)</f>
        <v>60784359.710000008</v>
      </c>
      <c r="X89" s="1262">
        <f>SUM(X79:X88)</f>
        <v>73463014.710000008</v>
      </c>
      <c r="AD89" s="1464" t="s">
        <v>105</v>
      </c>
      <c r="AE89" s="1465"/>
      <c r="AF89" s="1465"/>
      <c r="AG89" s="1465"/>
      <c r="AH89" s="1465"/>
      <c r="AI89" s="1465"/>
      <c r="AJ89" s="1465"/>
      <c r="AK89" s="1466"/>
    </row>
    <row r="90" spans="1:37" s="280" customFormat="1" x14ac:dyDescent="0.25">
      <c r="A90" s="282"/>
      <c r="B90" s="282"/>
      <c r="C90" s="282"/>
      <c r="D90" s="282"/>
      <c r="E90" s="778"/>
      <c r="F90" s="282"/>
      <c r="G90" s="282"/>
      <c r="H90" s="282"/>
      <c r="I90" s="282"/>
      <c r="J90" s="282"/>
      <c r="K90" s="282"/>
      <c r="L90" s="282"/>
      <c r="M90" s="257"/>
      <c r="N90" s="258"/>
      <c r="O90" s="258"/>
      <c r="U90" s="258"/>
      <c r="AD90" s="252" t="s">
        <v>106</v>
      </c>
      <c r="AE90" s="253">
        <v>1000000</v>
      </c>
      <c r="AF90" s="254"/>
      <c r="AG90" s="254"/>
      <c r="AH90" s="881"/>
      <c r="AI90" s="887">
        <f>AH90/AE90</f>
        <v>0</v>
      </c>
      <c r="AJ90" s="888">
        <f t="shared" si="12"/>
        <v>0</v>
      </c>
      <c r="AK90" s="883"/>
    </row>
    <row r="91" spans="1:37" s="280" customFormat="1" x14ac:dyDescent="0.25">
      <c r="A91" s="282"/>
      <c r="B91" s="282"/>
      <c r="C91" s="282"/>
      <c r="D91" s="282"/>
      <c r="E91" s="778"/>
      <c r="F91" s="282"/>
      <c r="G91" s="282"/>
      <c r="H91" s="282"/>
      <c r="I91" s="282"/>
      <c r="J91" s="282"/>
      <c r="K91" s="282"/>
      <c r="L91" s="282"/>
      <c r="M91" s="257"/>
      <c r="N91" s="258"/>
      <c r="O91" s="258"/>
      <c r="U91" s="258"/>
      <c r="AD91" s="244" t="s">
        <v>107</v>
      </c>
      <c r="AE91" s="253">
        <v>1000000</v>
      </c>
      <c r="AF91" s="254"/>
      <c r="AG91" s="254"/>
      <c r="AH91" s="881"/>
      <c r="AI91" s="889">
        <f>AH91/AE91</f>
        <v>0</v>
      </c>
      <c r="AJ91" s="890">
        <f t="shared" si="12"/>
        <v>0</v>
      </c>
      <c r="AK91" s="883"/>
    </row>
    <row r="92" spans="1:37" s="280" customFormat="1" ht="19.5" thickBot="1" x14ac:dyDescent="0.3">
      <c r="A92" s="282"/>
      <c r="B92" s="282"/>
      <c r="C92" s="282"/>
      <c r="D92" s="282"/>
      <c r="E92" s="778"/>
      <c r="F92" s="282"/>
      <c r="G92" s="282"/>
      <c r="H92" s="282"/>
      <c r="I92" s="282"/>
      <c r="J92" s="282"/>
      <c r="K92" s="282"/>
      <c r="L92" s="282"/>
      <c r="M92" s="257"/>
      <c r="N92" s="258"/>
      <c r="O92" s="258"/>
      <c r="U92" s="258"/>
      <c r="AC92" s="280" t="s">
        <v>459</v>
      </c>
      <c r="AD92" s="848" t="s">
        <v>99</v>
      </c>
      <c r="AE92" s="932">
        <v>1000000</v>
      </c>
      <c r="AF92" s="850"/>
      <c r="AG92" s="850"/>
      <c r="AH92" s="949"/>
      <c r="AI92" s="933">
        <f>AH92/AE92</f>
        <v>0</v>
      </c>
      <c r="AJ92" s="890">
        <f t="shared" si="12"/>
        <v>0</v>
      </c>
      <c r="AK92" s="884"/>
    </row>
    <row r="93" spans="1:37" ht="19.5" thickBot="1" x14ac:dyDescent="0.3">
      <c r="A93" s="282"/>
      <c r="B93" s="282"/>
      <c r="C93" s="282"/>
      <c r="D93" s="282"/>
      <c r="E93" s="778"/>
      <c r="F93" s="282"/>
      <c r="G93" s="282"/>
      <c r="H93" s="282"/>
      <c r="I93" s="282"/>
      <c r="J93" s="282"/>
      <c r="K93" s="282"/>
      <c r="L93" s="282"/>
      <c r="X93" s="280"/>
      <c r="Y93" s="280"/>
      <c r="Z93" s="280"/>
      <c r="AA93" s="280"/>
      <c r="AB93" s="280"/>
      <c r="AC93" s="1264">
        <f>AE93</f>
        <v>144000000</v>
      </c>
      <c r="AD93" s="247" t="s">
        <v>53</v>
      </c>
      <c r="AE93" s="248">
        <f>SUM(AE72:AE92)</f>
        <v>144000000</v>
      </c>
      <c r="AF93" s="292">
        <f>SUM(AF72:AF92)</f>
        <v>62162359.710000008</v>
      </c>
      <c r="AG93" s="292">
        <f>SUM(AG72:AG92)</f>
        <v>111255069</v>
      </c>
      <c r="AH93" s="882">
        <f>SUM(AH72:AH92)</f>
        <v>173417428.71000001</v>
      </c>
      <c r="AI93" s="934">
        <f>AH93/AE93</f>
        <v>1.204287699375</v>
      </c>
      <c r="AJ93" s="935">
        <f>AF93/AE93</f>
        <v>0.43168305354166675</v>
      </c>
      <c r="AK93" s="885">
        <f>SUM(AK72:AK92)</f>
        <v>54429391</v>
      </c>
    </row>
    <row r="94" spans="1:37" ht="19.5" thickBot="1" x14ac:dyDescent="0.3">
      <c r="A94" s="282"/>
      <c r="B94" s="282"/>
      <c r="C94" s="282"/>
      <c r="D94" s="282"/>
      <c r="E94" s="778"/>
      <c r="F94" s="282"/>
      <c r="G94" s="282"/>
      <c r="H94" s="282"/>
      <c r="I94" s="282"/>
      <c r="J94" s="282"/>
      <c r="K94" s="282"/>
      <c r="L94" s="282"/>
      <c r="X94" s="280"/>
      <c r="Y94" s="280"/>
      <c r="Z94" s="280"/>
      <c r="AA94" s="280"/>
      <c r="AB94" s="280"/>
      <c r="AC94" s="280" t="s">
        <v>460</v>
      </c>
      <c r="AD94" s="1470"/>
      <c r="AE94" s="1471"/>
      <c r="AF94" s="1471"/>
      <c r="AG94" s="1471"/>
      <c r="AH94" s="1471"/>
      <c r="AI94" s="1471"/>
      <c r="AJ94" s="1471"/>
      <c r="AK94" s="1472"/>
    </row>
    <row r="95" spans="1:37" ht="24" thickBot="1" x14ac:dyDescent="0.3">
      <c r="A95" s="282"/>
      <c r="B95" s="282"/>
      <c r="C95" s="282"/>
      <c r="D95" s="282"/>
      <c r="E95" s="778"/>
      <c r="F95" s="282"/>
      <c r="G95" s="282"/>
      <c r="H95" s="282"/>
      <c r="I95" s="282"/>
      <c r="J95" s="282"/>
      <c r="K95" s="282"/>
      <c r="L95" s="282"/>
      <c r="X95" s="280"/>
      <c r="Y95" s="280"/>
      <c r="Z95" s="280"/>
      <c r="AA95" s="280"/>
      <c r="AB95" s="280"/>
      <c r="AC95" s="1264">
        <v>245000000</v>
      </c>
      <c r="AD95" s="1467" t="s">
        <v>368</v>
      </c>
      <c r="AE95" s="1468"/>
      <c r="AF95" s="1468"/>
      <c r="AG95" s="1468"/>
      <c r="AH95" s="1468"/>
      <c r="AI95" s="1468"/>
      <c r="AJ95" s="1468"/>
      <c r="AK95" s="1469"/>
    </row>
    <row r="96" spans="1:37" ht="19.5" thickBot="1" x14ac:dyDescent="0.3">
      <c r="A96" s="282"/>
      <c r="B96" s="282"/>
      <c r="C96" s="282"/>
      <c r="D96" s="282"/>
      <c r="E96" s="778"/>
      <c r="F96" s="282"/>
      <c r="G96" s="282"/>
      <c r="H96" s="282"/>
      <c r="I96" s="282"/>
      <c r="J96" s="282"/>
      <c r="K96" s="282"/>
      <c r="L96" s="282"/>
      <c r="X96" s="280"/>
      <c r="Y96" s="280"/>
      <c r="Z96" s="280"/>
      <c r="AA96" s="280"/>
      <c r="AB96" s="280"/>
      <c r="AC96" s="280"/>
      <c r="AD96" s="249" t="s">
        <v>19</v>
      </c>
      <c r="AE96" s="250" t="s">
        <v>54</v>
      </c>
      <c r="AF96" s="293" t="s">
        <v>371</v>
      </c>
      <c r="AG96" s="251" t="s">
        <v>369</v>
      </c>
      <c r="AH96" s="251" t="s">
        <v>370</v>
      </c>
      <c r="AI96" s="832" t="s">
        <v>47</v>
      </c>
      <c r="AJ96" s="1477"/>
      <c r="AK96" s="1478"/>
    </row>
    <row r="97" spans="1:39" x14ac:dyDescent="0.25">
      <c r="A97" s="282"/>
      <c r="B97" s="282"/>
      <c r="C97" s="282"/>
      <c r="D97" s="282"/>
      <c r="E97" s="778"/>
      <c r="F97" s="282"/>
      <c r="G97" s="282"/>
      <c r="H97" s="282"/>
      <c r="I97" s="282"/>
      <c r="J97" s="282"/>
      <c r="K97" s="282"/>
      <c r="L97" s="282"/>
      <c r="X97" s="280"/>
      <c r="Y97" s="280"/>
      <c r="Z97" s="280"/>
      <c r="AA97" s="280"/>
      <c r="AB97" s="280"/>
      <c r="AC97" s="280"/>
      <c r="AD97" s="252" t="s">
        <v>48</v>
      </c>
      <c r="AE97" s="253">
        <v>75350000</v>
      </c>
      <c r="AF97" s="254"/>
      <c r="AG97" s="254"/>
      <c r="AH97" s="254">
        <f t="shared" ref="AH97:AH103" si="13">AG97+AF97</f>
        <v>0</v>
      </c>
      <c r="AI97" s="833">
        <f>AH97/AE97</f>
        <v>0</v>
      </c>
      <c r="AJ97" s="1479"/>
      <c r="AK97" s="1480"/>
    </row>
    <row r="98" spans="1:39" x14ac:dyDescent="0.25">
      <c r="A98" s="282"/>
      <c r="B98" s="282"/>
      <c r="C98" s="282"/>
      <c r="D98" s="282"/>
      <c r="E98" s="778"/>
      <c r="F98" s="282"/>
      <c r="G98" s="282"/>
      <c r="H98" s="282"/>
      <c r="I98" s="282"/>
      <c r="J98" s="282"/>
      <c r="K98" s="282"/>
      <c r="L98" s="282"/>
      <c r="X98" s="280"/>
      <c r="Y98" s="280"/>
      <c r="Z98" s="280"/>
      <c r="AA98" s="280"/>
      <c r="AB98" s="280"/>
      <c r="AC98" s="280"/>
      <c r="AD98" s="244" t="s">
        <v>51</v>
      </c>
      <c r="AE98" s="245">
        <v>45350000</v>
      </c>
      <c r="AF98" s="246">
        <f>SUM(J21:J33)</f>
        <v>43690889.710000001</v>
      </c>
      <c r="AG98" s="254"/>
      <c r="AH98" s="246">
        <f t="shared" si="13"/>
        <v>43690889.710000001</v>
      </c>
      <c r="AI98" s="839">
        <f t="shared" ref="AI98:AI103" si="14">AH98/AE98</f>
        <v>0.963415429106946</v>
      </c>
      <c r="AJ98" s="1479"/>
      <c r="AK98" s="1480"/>
    </row>
    <row r="99" spans="1:39" x14ac:dyDescent="0.25">
      <c r="A99" s="282"/>
      <c r="B99" s="282"/>
      <c r="C99" s="282"/>
      <c r="D99" s="282"/>
      <c r="E99" s="778"/>
      <c r="F99" s="282"/>
      <c r="G99" s="282"/>
      <c r="H99" s="282"/>
      <c r="I99" s="282"/>
      <c r="J99" s="282"/>
      <c r="K99" s="282"/>
      <c r="L99" s="282"/>
      <c r="N99" s="257"/>
      <c r="O99" s="257"/>
      <c r="X99" s="280"/>
      <c r="Y99" s="280"/>
      <c r="Z99" s="280"/>
      <c r="AA99" s="280"/>
      <c r="AB99" s="280"/>
      <c r="AC99" s="280"/>
      <c r="AD99" s="244" t="s">
        <v>52</v>
      </c>
      <c r="AE99" s="245">
        <v>35350000</v>
      </c>
      <c r="AF99" s="246">
        <f>SUM(J43)</f>
        <v>1500000</v>
      </c>
      <c r="AG99" s="254"/>
      <c r="AH99" s="246">
        <f t="shared" si="13"/>
        <v>1500000</v>
      </c>
      <c r="AI99" s="834">
        <f t="shared" si="14"/>
        <v>4.2432814710042434E-2</v>
      </c>
      <c r="AJ99" s="1479"/>
      <c r="AK99" s="1480"/>
    </row>
    <row r="100" spans="1:39" s="280" customFormat="1" x14ac:dyDescent="0.25">
      <c r="A100" s="282"/>
      <c r="B100" s="282"/>
      <c r="C100" s="282"/>
      <c r="D100" s="282"/>
      <c r="E100" s="778"/>
      <c r="F100" s="282"/>
      <c r="G100" s="282"/>
      <c r="H100" s="282"/>
      <c r="I100" s="282"/>
      <c r="J100" s="282"/>
      <c r="K100" s="282"/>
      <c r="L100" s="282"/>
      <c r="M100" s="257"/>
      <c r="N100" s="257"/>
      <c r="O100" s="257"/>
      <c r="AD100" s="244" t="s">
        <v>365</v>
      </c>
      <c r="AE100" s="245">
        <v>20350000</v>
      </c>
      <c r="AF100" s="246">
        <f>SUM(J49)</f>
        <v>1500000</v>
      </c>
      <c r="AG100" s="254"/>
      <c r="AH100" s="246">
        <f t="shared" si="13"/>
        <v>1500000</v>
      </c>
      <c r="AI100" s="834">
        <f>AH100/AE100</f>
        <v>7.3710073710073709E-2</v>
      </c>
      <c r="AJ100" s="1479"/>
      <c r="AK100" s="1480"/>
    </row>
    <row r="101" spans="1:39" x14ac:dyDescent="0.25">
      <c r="A101" s="282"/>
      <c r="B101" s="282"/>
      <c r="C101" s="282"/>
      <c r="D101" s="282"/>
      <c r="E101" s="778"/>
      <c r="F101" s="282"/>
      <c r="G101" s="282"/>
      <c r="H101" s="282"/>
      <c r="I101" s="282"/>
      <c r="J101" s="282"/>
      <c r="K101" s="282"/>
      <c r="L101" s="282"/>
      <c r="X101" s="280"/>
      <c r="Y101" s="280"/>
      <c r="Z101" s="280"/>
      <c r="AA101" s="280"/>
      <c r="AB101" s="280"/>
      <c r="AC101" s="280"/>
      <c r="AD101" s="244" t="s">
        <v>352</v>
      </c>
      <c r="AE101" s="245">
        <v>2500000</v>
      </c>
      <c r="AF101" s="246">
        <f>SUM(J46:J48)</f>
        <v>776300</v>
      </c>
      <c r="AG101" s="254"/>
      <c r="AH101" s="246">
        <f t="shared" si="13"/>
        <v>776300</v>
      </c>
      <c r="AI101" s="834">
        <f>AH101/AE101</f>
        <v>0.31052000000000002</v>
      </c>
      <c r="AJ101" s="1479"/>
      <c r="AK101" s="1480"/>
    </row>
    <row r="102" spans="1:39" x14ac:dyDescent="0.25">
      <c r="A102" s="282"/>
      <c r="B102" s="282"/>
      <c r="C102" s="282"/>
      <c r="D102" s="282"/>
      <c r="E102" s="778"/>
      <c r="F102" s="282"/>
      <c r="G102" s="282"/>
      <c r="H102" s="282"/>
      <c r="I102" s="282"/>
      <c r="J102" s="282"/>
      <c r="K102" s="282"/>
      <c r="L102" s="282"/>
      <c r="X102" s="280"/>
      <c r="Y102" s="280"/>
      <c r="Z102" s="280"/>
      <c r="AA102" s="280"/>
      <c r="AB102" s="280"/>
      <c r="AC102" s="280"/>
      <c r="AD102" s="244" t="s">
        <v>62</v>
      </c>
      <c r="AE102" s="245">
        <v>10000000</v>
      </c>
      <c r="AF102" s="246"/>
      <c r="AG102" s="254"/>
      <c r="AH102" s="246">
        <f t="shared" si="13"/>
        <v>0</v>
      </c>
      <c r="AI102" s="834">
        <f t="shared" si="14"/>
        <v>0</v>
      </c>
      <c r="AJ102" s="1479"/>
      <c r="AK102" s="1480"/>
      <c r="AL102" s="280"/>
      <c r="AM102" s="280"/>
    </row>
    <row r="103" spans="1:39" x14ac:dyDescent="0.25">
      <c r="A103" s="282"/>
      <c r="B103" s="282"/>
      <c r="C103" s="282"/>
      <c r="D103" s="282"/>
      <c r="E103" s="778"/>
      <c r="F103" s="282"/>
      <c r="G103" s="282"/>
      <c r="H103" s="282"/>
      <c r="I103" s="282"/>
      <c r="J103" s="282"/>
      <c r="K103" s="282"/>
      <c r="L103" s="282"/>
      <c r="X103" s="280"/>
      <c r="Y103" s="280"/>
      <c r="Z103" s="280"/>
      <c r="AA103" s="280"/>
      <c r="AB103" s="280"/>
      <c r="AC103" s="280"/>
      <c r="AD103" s="244" t="s">
        <v>63</v>
      </c>
      <c r="AE103" s="245">
        <v>7000000</v>
      </c>
      <c r="AF103" s="246"/>
      <c r="AG103" s="254"/>
      <c r="AH103" s="246">
        <f t="shared" si="13"/>
        <v>0</v>
      </c>
      <c r="AI103" s="834">
        <f t="shared" si="14"/>
        <v>0</v>
      </c>
      <c r="AJ103" s="1479"/>
      <c r="AK103" s="1480"/>
      <c r="AL103" s="280"/>
      <c r="AM103" s="280"/>
    </row>
    <row r="104" spans="1:39" s="280" customFormat="1" x14ac:dyDescent="0.25">
      <c r="A104" s="282"/>
      <c r="B104" s="282"/>
      <c r="C104" s="282"/>
      <c r="D104" s="282"/>
      <c r="E104" s="778"/>
      <c r="F104" s="282"/>
      <c r="G104" s="282"/>
      <c r="H104" s="282"/>
      <c r="I104" s="282"/>
      <c r="J104" s="282"/>
      <c r="K104" s="282"/>
      <c r="L104" s="282"/>
      <c r="M104" s="257"/>
      <c r="N104" s="258"/>
      <c r="O104" s="258"/>
      <c r="AD104" s="848" t="s">
        <v>389</v>
      </c>
      <c r="AE104" s="849">
        <v>10000000</v>
      </c>
      <c r="AF104" s="246">
        <f>SUM(J54)</f>
        <v>3155150</v>
      </c>
      <c r="AG104" s="254"/>
      <c r="AH104" s="246">
        <f>AG104+AF104</f>
        <v>3155150</v>
      </c>
      <c r="AI104" s="834">
        <f>AH104/AE104</f>
        <v>0.31551499999999999</v>
      </c>
      <c r="AJ104" s="1479"/>
      <c r="AK104" s="1480"/>
    </row>
    <row r="105" spans="1:39" s="280" customFormat="1" x14ac:dyDescent="0.25">
      <c r="A105" s="282"/>
      <c r="B105" s="282"/>
      <c r="C105" s="282"/>
      <c r="D105" s="282"/>
      <c r="E105" s="778"/>
      <c r="F105" s="282"/>
      <c r="G105" s="282"/>
      <c r="H105" s="282"/>
      <c r="I105" s="282"/>
      <c r="J105" s="282"/>
      <c r="K105" s="282"/>
      <c r="L105" s="282"/>
      <c r="M105" s="257"/>
      <c r="N105" s="258"/>
      <c r="O105" s="258"/>
      <c r="AD105" s="848" t="s">
        <v>396</v>
      </c>
      <c r="AE105" s="849" t="s">
        <v>56</v>
      </c>
      <c r="AF105" s="246">
        <f>SUM(J59:J63)</f>
        <v>7900000</v>
      </c>
      <c r="AG105" s="254"/>
      <c r="AH105" s="246">
        <f>AG105+AF105</f>
        <v>7900000</v>
      </c>
      <c r="AI105" s="834" t="e">
        <f>AH105/AE105</f>
        <v>#VALUE!</v>
      </c>
      <c r="AJ105" s="1479"/>
      <c r="AK105" s="1480"/>
    </row>
    <row r="106" spans="1:39" s="280" customFormat="1" ht="19.5" thickBot="1" x14ac:dyDescent="0.3">
      <c r="A106" s="282"/>
      <c r="B106" s="282"/>
      <c r="C106" s="282"/>
      <c r="D106" s="282"/>
      <c r="E106" s="778"/>
      <c r="F106" s="282"/>
      <c r="G106" s="282"/>
      <c r="H106" s="282"/>
      <c r="I106" s="282"/>
      <c r="J106" s="282"/>
      <c r="K106" s="282"/>
      <c r="L106" s="282"/>
      <c r="M106" s="257"/>
      <c r="N106" s="258"/>
      <c r="O106" s="258"/>
      <c r="AD106" s="848" t="s">
        <v>445</v>
      </c>
      <c r="AE106" s="849" t="s">
        <v>56</v>
      </c>
      <c r="AF106" s="246">
        <f>SUM(J64)</f>
        <v>14940675</v>
      </c>
      <c r="AG106" s="254"/>
      <c r="AH106" s="246">
        <f>AG106+AF106</f>
        <v>14940675</v>
      </c>
      <c r="AI106" s="834" t="e">
        <f>AH106/AE106</f>
        <v>#VALUE!</v>
      </c>
      <c r="AJ106" s="1479"/>
      <c r="AK106" s="1480"/>
    </row>
    <row r="107" spans="1:39" s="280" customFormat="1" x14ac:dyDescent="0.25">
      <c r="A107" s="282"/>
      <c r="B107" s="282"/>
      <c r="C107" s="282"/>
      <c r="D107" s="282"/>
      <c r="E107" s="778"/>
      <c r="F107" s="282"/>
      <c r="G107" s="282"/>
      <c r="H107" s="282"/>
      <c r="I107" s="282"/>
      <c r="J107" s="282"/>
      <c r="K107" s="282"/>
      <c r="L107" s="282"/>
      <c r="M107" s="257"/>
      <c r="N107" s="258"/>
      <c r="O107" s="258"/>
      <c r="AD107" s="243" t="s">
        <v>366</v>
      </c>
      <c r="AE107" s="944">
        <v>10000000</v>
      </c>
      <c r="AF107" s="1483"/>
      <c r="AG107" s="1484"/>
      <c r="AH107" s="1484"/>
      <c r="AI107" s="1485"/>
      <c r="AJ107" s="1479"/>
      <c r="AK107" s="1480"/>
    </row>
    <row r="108" spans="1:39" s="280" customFormat="1" x14ac:dyDescent="0.25">
      <c r="A108" s="282"/>
      <c r="B108" s="282"/>
      <c r="C108" s="282"/>
      <c r="D108" s="282"/>
      <c r="E108" s="778"/>
      <c r="F108" s="282"/>
      <c r="G108" s="282"/>
      <c r="H108" s="282"/>
      <c r="I108" s="282"/>
      <c r="J108" s="282"/>
      <c r="K108" s="282"/>
      <c r="L108" s="282"/>
      <c r="M108" s="257"/>
      <c r="N108" s="258"/>
      <c r="O108" s="258"/>
      <c r="AD108" s="244" t="s">
        <v>366</v>
      </c>
      <c r="AE108" s="245">
        <v>10000000</v>
      </c>
      <c r="AF108" s="1486"/>
      <c r="AG108" s="1487"/>
      <c r="AH108" s="1487"/>
      <c r="AI108" s="1488"/>
      <c r="AJ108" s="1479"/>
      <c r="AK108" s="1480"/>
    </row>
    <row r="109" spans="1:39" s="280" customFormat="1" ht="19.5" thickBot="1" x14ac:dyDescent="0.3">
      <c r="A109" s="282"/>
      <c r="B109" s="282"/>
      <c r="C109" s="282"/>
      <c r="D109" s="282"/>
      <c r="E109" s="778"/>
      <c r="F109" s="282"/>
      <c r="G109" s="282"/>
      <c r="H109" s="282"/>
      <c r="I109" s="282"/>
      <c r="J109" s="282"/>
      <c r="K109" s="282"/>
      <c r="L109" s="282"/>
      <c r="M109" s="257"/>
      <c r="N109" s="258"/>
      <c r="O109" s="258"/>
      <c r="U109" s="258"/>
      <c r="AD109" s="945" t="s">
        <v>367</v>
      </c>
      <c r="AE109" s="946">
        <v>5000000</v>
      </c>
      <c r="AF109" s="1489"/>
      <c r="AG109" s="1490"/>
      <c r="AH109" s="1490"/>
      <c r="AI109" s="1491"/>
      <c r="AJ109" s="1479"/>
      <c r="AK109" s="1480"/>
    </row>
    <row r="110" spans="1:39" ht="19.5" thickBot="1" x14ac:dyDescent="0.3">
      <c r="A110" s="282"/>
      <c r="B110" s="282"/>
      <c r="C110" s="282"/>
      <c r="D110" s="282"/>
      <c r="E110" s="778"/>
      <c r="F110" s="282"/>
      <c r="G110" s="282"/>
      <c r="H110" s="282"/>
      <c r="I110" s="282"/>
      <c r="J110" s="282"/>
      <c r="K110" s="282"/>
      <c r="L110" s="282"/>
      <c r="X110" s="280"/>
      <c r="Y110" s="280"/>
      <c r="Z110" s="280"/>
      <c r="AA110" s="280"/>
      <c r="AB110" s="280"/>
      <c r="AC110" s="280"/>
      <c r="AD110" s="1464" t="s">
        <v>104</v>
      </c>
      <c r="AE110" s="1465"/>
      <c r="AF110" s="1465"/>
      <c r="AG110" s="1465"/>
      <c r="AH110" s="1465"/>
      <c r="AI110" s="1466"/>
      <c r="AJ110" s="1479"/>
      <c r="AK110" s="1480"/>
      <c r="AL110" s="280"/>
      <c r="AM110" s="280"/>
    </row>
    <row r="111" spans="1:39" x14ac:dyDescent="0.25">
      <c r="A111" s="282"/>
      <c r="B111" s="282"/>
      <c r="C111" s="282"/>
      <c r="D111" s="282"/>
      <c r="E111" s="778"/>
      <c r="F111" s="282"/>
      <c r="G111" s="282"/>
      <c r="H111" s="282"/>
      <c r="I111" s="282"/>
      <c r="J111" s="282"/>
      <c r="K111" s="282"/>
      <c r="L111" s="282"/>
      <c r="X111" s="280"/>
      <c r="Y111" s="280"/>
      <c r="Z111" s="280"/>
      <c r="AA111" s="280"/>
      <c r="AB111" s="280"/>
      <c r="AC111" s="280"/>
      <c r="AD111" s="243" t="s">
        <v>101</v>
      </c>
      <c r="AE111" s="253">
        <v>8000000</v>
      </c>
      <c r="AF111" s="254"/>
      <c r="AG111" s="254"/>
      <c r="AH111" s="254"/>
      <c r="AI111" s="834">
        <f>AH111/AE111</f>
        <v>0</v>
      </c>
      <c r="AJ111" s="1479"/>
      <c r="AK111" s="1480"/>
      <c r="AL111" s="280"/>
    </row>
    <row r="112" spans="1:39" x14ac:dyDescent="0.25">
      <c r="A112" s="282"/>
      <c r="B112" s="282"/>
      <c r="C112" s="282"/>
      <c r="D112" s="282"/>
      <c r="E112" s="778"/>
      <c r="F112" s="282"/>
      <c r="G112" s="282"/>
      <c r="H112" s="282"/>
      <c r="I112" s="282"/>
      <c r="J112" s="282"/>
      <c r="K112" s="282"/>
      <c r="L112" s="282"/>
      <c r="X112" s="280"/>
      <c r="Y112" s="280"/>
      <c r="Z112" s="280"/>
      <c r="AA112" s="280"/>
      <c r="AB112" s="280"/>
      <c r="AC112" s="280"/>
      <c r="AD112" s="244" t="s">
        <v>102</v>
      </c>
      <c r="AE112" s="245">
        <v>2200000</v>
      </c>
      <c r="AF112" s="254"/>
      <c r="AG112" s="254"/>
      <c r="AH112" s="254"/>
      <c r="AI112" s="834">
        <f>AH112/AE112</f>
        <v>0</v>
      </c>
      <c r="AJ112" s="1479"/>
      <c r="AK112" s="1480"/>
    </row>
    <row r="113" spans="1:37" ht="19.5" thickBot="1" x14ac:dyDescent="0.3">
      <c r="A113" s="282"/>
      <c r="B113" s="282"/>
      <c r="C113" s="282"/>
      <c r="D113" s="282"/>
      <c r="E113" s="778"/>
      <c r="F113" s="282"/>
      <c r="G113" s="282"/>
      <c r="H113" s="282"/>
      <c r="I113" s="282"/>
      <c r="J113" s="282"/>
      <c r="K113" s="282"/>
      <c r="L113" s="282"/>
      <c r="X113" s="280"/>
      <c r="Y113" s="280"/>
      <c r="Z113" s="280"/>
      <c r="AA113" s="280"/>
      <c r="AB113" s="280"/>
      <c r="AC113" s="280"/>
      <c r="AD113" s="244" t="s">
        <v>103</v>
      </c>
      <c r="AE113" s="245">
        <v>2200000</v>
      </c>
      <c r="AF113" s="254"/>
      <c r="AG113" s="254"/>
      <c r="AH113" s="254"/>
      <c r="AI113" s="834">
        <f>AH113/AE113</f>
        <v>0</v>
      </c>
      <c r="AJ113" s="1479"/>
      <c r="AK113" s="1480"/>
    </row>
    <row r="114" spans="1:37" ht="19.5" thickBot="1" x14ac:dyDescent="0.3">
      <c r="A114" s="282"/>
      <c r="B114" s="282"/>
      <c r="C114" s="282"/>
      <c r="D114" s="282"/>
      <c r="E114" s="778"/>
      <c r="F114" s="282"/>
      <c r="G114" s="282"/>
      <c r="H114" s="282"/>
      <c r="I114" s="282"/>
      <c r="J114" s="282"/>
      <c r="K114" s="282"/>
      <c r="L114" s="282"/>
      <c r="X114" s="280"/>
      <c r="Y114" s="280"/>
      <c r="Z114" s="280"/>
      <c r="AA114" s="280"/>
      <c r="AB114" s="280"/>
      <c r="AC114" s="280"/>
      <c r="AD114" s="1464" t="s">
        <v>105</v>
      </c>
      <c r="AE114" s="1465"/>
      <c r="AF114" s="1465"/>
      <c r="AG114" s="1465"/>
      <c r="AH114" s="1465"/>
      <c r="AI114" s="1466"/>
      <c r="AJ114" s="1479"/>
      <c r="AK114" s="1480"/>
    </row>
    <row r="115" spans="1:37" x14ac:dyDescent="0.25">
      <c r="A115" s="282"/>
      <c r="B115" s="282"/>
      <c r="C115" s="282"/>
      <c r="D115" s="282"/>
      <c r="E115" s="778"/>
      <c r="F115" s="282"/>
      <c r="G115" s="282"/>
      <c r="H115" s="282"/>
      <c r="I115" s="282"/>
      <c r="J115" s="282"/>
      <c r="K115" s="282"/>
      <c r="L115" s="282"/>
      <c r="X115" s="280"/>
      <c r="Y115" s="280"/>
      <c r="Z115" s="280"/>
      <c r="AA115" s="280"/>
      <c r="AB115" s="280"/>
      <c r="AC115" s="280"/>
      <c r="AD115" s="243" t="s">
        <v>106</v>
      </c>
      <c r="AE115" s="245">
        <v>1400000</v>
      </c>
      <c r="AF115" s="254"/>
      <c r="AG115" s="254"/>
      <c r="AH115" s="254"/>
      <c r="AI115" s="834">
        <f>AH115/AE115</f>
        <v>0</v>
      </c>
      <c r="AJ115" s="1479"/>
      <c r="AK115" s="1480"/>
    </row>
    <row r="116" spans="1:37" x14ac:dyDescent="0.25">
      <c r="A116" s="282"/>
      <c r="B116" s="282"/>
      <c r="C116" s="282"/>
      <c r="D116" s="282"/>
      <c r="E116" s="778"/>
      <c r="F116" s="282"/>
      <c r="G116" s="282"/>
      <c r="H116" s="282"/>
      <c r="I116" s="282"/>
      <c r="J116" s="282"/>
      <c r="K116" s="282"/>
      <c r="L116" s="282"/>
      <c r="X116" s="280"/>
      <c r="Y116" s="280"/>
      <c r="Z116" s="280"/>
      <c r="AA116" s="280"/>
      <c r="AB116" s="280"/>
      <c r="AC116" s="280"/>
      <c r="AD116" s="244" t="s">
        <v>107</v>
      </c>
      <c r="AE116" s="245">
        <v>1400000</v>
      </c>
      <c r="AF116" s="254"/>
      <c r="AG116" s="254"/>
      <c r="AH116" s="254"/>
      <c r="AI116" s="834">
        <f>AH116/AE116</f>
        <v>0</v>
      </c>
      <c r="AJ116" s="1479"/>
      <c r="AK116" s="1480"/>
    </row>
    <row r="117" spans="1:37" x14ac:dyDescent="0.25">
      <c r="A117" s="282"/>
      <c r="B117" s="282"/>
      <c r="C117" s="282"/>
      <c r="D117" s="282"/>
      <c r="E117" s="778"/>
      <c r="F117" s="282"/>
      <c r="G117" s="282"/>
      <c r="H117" s="282"/>
      <c r="I117" s="282"/>
      <c r="J117" s="282"/>
      <c r="K117" s="282"/>
      <c r="L117" s="282"/>
      <c r="X117" s="280"/>
      <c r="Y117" s="280"/>
      <c r="Z117" s="280"/>
      <c r="AA117" s="280"/>
      <c r="AB117" s="280"/>
      <c r="AC117" s="280"/>
      <c r="AD117" s="244" t="s">
        <v>99</v>
      </c>
      <c r="AE117" s="245">
        <v>1400000</v>
      </c>
      <c r="AF117" s="254"/>
      <c r="AG117" s="254"/>
      <c r="AH117" s="254"/>
      <c r="AI117" s="834">
        <f>AH117/AE117</f>
        <v>0</v>
      </c>
      <c r="AJ117" s="1479"/>
      <c r="AK117" s="1480"/>
    </row>
    <row r="118" spans="1:37" ht="19.5" thickBot="1" x14ac:dyDescent="0.3">
      <c r="A118" s="282"/>
      <c r="B118" s="282"/>
      <c r="C118" s="282"/>
      <c r="D118" s="282"/>
      <c r="E118" s="778"/>
      <c r="F118" s="282"/>
      <c r="G118" s="282"/>
      <c r="H118" s="282"/>
      <c r="I118" s="282"/>
      <c r="J118" s="282"/>
      <c r="K118" s="282"/>
      <c r="L118" s="282"/>
      <c r="X118" s="280"/>
      <c r="Y118" s="280"/>
      <c r="Z118" s="280"/>
      <c r="AA118" s="280"/>
      <c r="AB118" s="280"/>
      <c r="AC118" s="280"/>
      <c r="AD118" s="255" t="s">
        <v>53</v>
      </c>
      <c r="AE118" s="835">
        <f>SUM(AE97:AE117)</f>
        <v>247500000</v>
      </c>
      <c r="AF118" s="835">
        <f>SUM(AF97:AF117)</f>
        <v>73463014.710000008</v>
      </c>
      <c r="AG118" s="835">
        <f>SUM(AG97:AG117)</f>
        <v>0</v>
      </c>
      <c r="AH118" s="835">
        <f>SUM(AH97:AH117)</f>
        <v>73463014.710000008</v>
      </c>
      <c r="AI118" s="836">
        <f>AH118/AE118</f>
        <v>0.29682026145454549</v>
      </c>
      <c r="AJ118" s="1481"/>
      <c r="AK118" s="1482"/>
    </row>
    <row r="119" spans="1:37" ht="19.5" thickBot="1" x14ac:dyDescent="0.3">
      <c r="A119" s="282"/>
      <c r="B119" s="282"/>
      <c r="C119" s="282"/>
      <c r="D119" s="282"/>
      <c r="E119" s="778"/>
      <c r="F119" s="282"/>
      <c r="G119" s="282"/>
      <c r="H119" s="282"/>
      <c r="I119" s="282"/>
      <c r="J119" s="282"/>
      <c r="K119" s="282"/>
      <c r="L119" s="282"/>
      <c r="X119" s="280"/>
      <c r="Y119" s="280"/>
      <c r="Z119" s="280"/>
      <c r="AA119" s="280"/>
      <c r="AB119" s="280"/>
      <c r="AC119" s="280"/>
      <c r="AD119" s="1461"/>
      <c r="AE119" s="1462"/>
      <c r="AF119" s="1462"/>
      <c r="AG119" s="1462"/>
      <c r="AH119" s="1462"/>
      <c r="AI119" s="1462"/>
      <c r="AJ119" s="1462"/>
      <c r="AK119" s="1463"/>
    </row>
    <row r="120" spans="1:37" x14ac:dyDescent="0.25">
      <c r="A120" s="282"/>
      <c r="B120" s="282"/>
      <c r="C120" s="282"/>
      <c r="D120" s="282"/>
      <c r="E120" s="778"/>
      <c r="F120" s="282"/>
      <c r="G120" s="282"/>
      <c r="H120" s="282"/>
      <c r="I120" s="282"/>
      <c r="J120" s="282"/>
      <c r="K120" s="282"/>
      <c r="L120" s="282"/>
      <c r="X120" s="280"/>
      <c r="Y120" s="280"/>
      <c r="Z120" s="280"/>
      <c r="AA120" s="280"/>
      <c r="AB120" s="280"/>
      <c r="AC120" s="280"/>
      <c r="AD120" s="280"/>
      <c r="AE120" s="280"/>
      <c r="AF120" s="280"/>
      <c r="AG120" s="280"/>
      <c r="AH120" s="280"/>
      <c r="AI120" s="280"/>
      <c r="AK120" s="280"/>
    </row>
    <row r="121" spans="1:37" x14ac:dyDescent="0.25">
      <c r="A121" s="282"/>
      <c r="B121" s="282"/>
      <c r="C121" s="282"/>
      <c r="D121" s="282"/>
      <c r="E121" s="778"/>
      <c r="F121" s="282"/>
      <c r="G121" s="282"/>
      <c r="H121" s="282"/>
      <c r="I121" s="282"/>
      <c r="J121" s="282"/>
      <c r="K121" s="282"/>
      <c r="L121" s="282"/>
      <c r="X121" s="280"/>
      <c r="Y121" s="280"/>
      <c r="Z121" s="280"/>
      <c r="AA121" s="280"/>
      <c r="AB121" s="280"/>
      <c r="AC121" s="280"/>
      <c r="AD121" s="280"/>
      <c r="AE121" s="280"/>
      <c r="AF121" s="280"/>
      <c r="AG121" s="280"/>
      <c r="AH121" s="280"/>
      <c r="AI121" s="280"/>
      <c r="AK121" s="280"/>
    </row>
    <row r="122" spans="1:37" x14ac:dyDescent="0.25">
      <c r="A122" s="282"/>
      <c r="B122" s="282"/>
      <c r="C122" s="282"/>
      <c r="D122" s="282"/>
      <c r="E122" s="778"/>
      <c r="F122" s="282"/>
      <c r="G122" s="282"/>
      <c r="H122" s="282"/>
      <c r="I122" s="282"/>
      <c r="J122" s="282"/>
      <c r="K122" s="282"/>
      <c r="L122" s="282"/>
      <c r="X122" s="280"/>
      <c r="Y122" s="280"/>
      <c r="Z122" s="280"/>
      <c r="AA122" s="280"/>
      <c r="AB122" s="280"/>
      <c r="AC122" s="280"/>
      <c r="AD122" s="280"/>
      <c r="AK122" s="280"/>
    </row>
    <row r="123" spans="1:37" x14ac:dyDescent="0.25">
      <c r="A123" s="282"/>
      <c r="B123" s="282"/>
      <c r="C123" s="282"/>
      <c r="D123" s="282"/>
      <c r="E123" s="778"/>
      <c r="F123" s="282"/>
      <c r="G123" s="282"/>
      <c r="H123" s="282"/>
      <c r="I123" s="282"/>
      <c r="J123" s="282"/>
      <c r="K123" s="282"/>
      <c r="L123" s="282"/>
      <c r="X123" s="280"/>
      <c r="Y123" s="280"/>
      <c r="Z123" s="280"/>
      <c r="AA123" s="280"/>
      <c r="AB123" s="280"/>
      <c r="AC123" s="280"/>
      <c r="AD123" s="280"/>
      <c r="AK123" s="280"/>
    </row>
    <row r="124" spans="1:37" x14ac:dyDescent="0.25">
      <c r="A124" s="282"/>
      <c r="B124" s="282"/>
      <c r="C124" s="282"/>
      <c r="D124" s="282"/>
      <c r="E124" s="778"/>
      <c r="F124" s="282"/>
      <c r="G124" s="282"/>
      <c r="H124" s="282"/>
      <c r="I124" s="282"/>
      <c r="J124" s="282"/>
      <c r="K124" s="282"/>
      <c r="L124" s="282"/>
      <c r="X124" s="280"/>
      <c r="Y124" s="280"/>
      <c r="Z124" s="280"/>
      <c r="AA124" s="280"/>
      <c r="AB124" s="280"/>
      <c r="AC124" s="280"/>
      <c r="AD124" s="280" t="s">
        <v>368</v>
      </c>
      <c r="AE124" s="230" t="s">
        <v>457</v>
      </c>
      <c r="AF124" s="230" t="s">
        <v>458</v>
      </c>
      <c r="AK124" s="280"/>
    </row>
    <row r="125" spans="1:37" ht="19.5" thickBot="1" x14ac:dyDescent="0.3">
      <c r="A125" s="282"/>
      <c r="B125" s="282"/>
      <c r="C125" s="282"/>
      <c r="D125" s="282"/>
      <c r="E125" s="778"/>
      <c r="F125" s="282"/>
      <c r="G125" s="282"/>
      <c r="H125" s="282"/>
      <c r="I125" s="282"/>
      <c r="J125" s="282"/>
      <c r="K125" s="282"/>
      <c r="L125" s="282"/>
      <c r="X125" s="280"/>
      <c r="Y125" s="280"/>
      <c r="Z125" s="280"/>
      <c r="AA125" s="280"/>
      <c r="AB125" s="280"/>
      <c r="AD125" s="835">
        <f>AE125+AF125</f>
        <v>73271814.710000008</v>
      </c>
      <c r="AE125" s="930">
        <f>J60+J59+J54+J48+J47+J46+J30+J24+J23+J22+J21</f>
        <v>30169139.710000001</v>
      </c>
      <c r="AF125" s="930">
        <f>J64+J62+J61+J49+J43+J33+J32+J31+J29+J28+J27+J26+J25</f>
        <v>43102675</v>
      </c>
      <c r="AK125" s="280"/>
    </row>
    <row r="126" spans="1:37" x14ac:dyDescent="0.25">
      <c r="A126" s="282"/>
      <c r="B126" s="282"/>
      <c r="C126" s="282"/>
      <c r="D126" s="282"/>
      <c r="E126" s="778"/>
      <c r="F126" s="282"/>
      <c r="G126" s="282"/>
      <c r="H126" s="282"/>
      <c r="I126" s="282"/>
      <c r="J126" s="282"/>
      <c r="K126" s="282"/>
      <c r="L126" s="282"/>
      <c r="X126" s="280"/>
      <c r="Y126" s="280"/>
      <c r="Z126" s="280"/>
      <c r="AA126" s="280"/>
      <c r="AB126" s="280"/>
      <c r="AC126" s="280"/>
      <c r="AK126" s="280"/>
    </row>
    <row r="127" spans="1:37" x14ac:dyDescent="0.25">
      <c r="A127" s="282"/>
      <c r="B127" s="282"/>
      <c r="C127" s="282"/>
      <c r="D127" s="282"/>
      <c r="E127" s="778"/>
      <c r="F127" s="282"/>
      <c r="G127" s="282"/>
      <c r="H127" s="282"/>
      <c r="I127" s="282"/>
      <c r="J127" s="282"/>
      <c r="K127" s="282"/>
      <c r="L127" s="282"/>
      <c r="X127" s="280"/>
      <c r="Y127" s="280"/>
      <c r="Z127" s="280"/>
      <c r="AA127" s="280"/>
      <c r="AB127" s="280"/>
      <c r="AC127" s="280"/>
      <c r="AK127" s="280"/>
    </row>
    <row r="128" spans="1:37" x14ac:dyDescent="0.25">
      <c r="A128" s="282"/>
      <c r="B128" s="282"/>
      <c r="C128" s="282"/>
      <c r="D128" s="282"/>
      <c r="E128" s="778"/>
      <c r="F128" s="282"/>
      <c r="G128" s="282"/>
      <c r="H128" s="282"/>
      <c r="I128" s="282"/>
      <c r="J128" s="282"/>
      <c r="K128" s="282"/>
      <c r="L128" s="282"/>
      <c r="X128" s="280"/>
      <c r="Y128" s="280"/>
      <c r="Z128" s="280"/>
      <c r="AA128" s="280"/>
      <c r="AB128" s="280"/>
      <c r="AC128" s="280"/>
      <c r="AK128" s="280"/>
    </row>
    <row r="129" spans="1:37" x14ac:dyDescent="0.25">
      <c r="A129" s="282"/>
      <c r="B129" s="282"/>
      <c r="C129" s="282"/>
      <c r="D129" s="282"/>
      <c r="E129" s="778"/>
      <c r="F129" s="282"/>
      <c r="G129" s="282"/>
      <c r="H129" s="282"/>
      <c r="I129" s="282"/>
      <c r="J129" s="282"/>
      <c r="K129" s="282"/>
      <c r="L129" s="282"/>
      <c r="X129" s="280"/>
      <c r="Y129" s="280"/>
      <c r="Z129" s="280"/>
      <c r="AA129" s="280"/>
      <c r="AB129" s="280"/>
      <c r="AC129" s="280"/>
      <c r="AK129" s="280"/>
    </row>
    <row r="130" spans="1:37" x14ac:dyDescent="0.25">
      <c r="A130" s="282"/>
      <c r="B130" s="282"/>
      <c r="C130" s="282"/>
      <c r="D130" s="282"/>
      <c r="E130" s="778"/>
      <c r="F130" s="282"/>
      <c r="G130" s="282"/>
      <c r="H130" s="282"/>
      <c r="I130" s="282"/>
      <c r="J130" s="282"/>
      <c r="K130" s="282"/>
      <c r="L130" s="282"/>
      <c r="X130" s="280"/>
      <c r="Y130" s="280"/>
      <c r="Z130" s="280"/>
      <c r="AA130" s="280"/>
      <c r="AB130" s="280"/>
      <c r="AC130" s="280"/>
      <c r="AK130" s="280"/>
    </row>
    <row r="131" spans="1:37" x14ac:dyDescent="0.25">
      <c r="A131" s="282"/>
      <c r="B131" s="282"/>
      <c r="C131" s="282"/>
      <c r="D131" s="282"/>
      <c r="E131" s="778"/>
      <c r="F131" s="282"/>
      <c r="G131" s="282"/>
      <c r="H131" s="282"/>
      <c r="I131" s="282"/>
      <c r="J131" s="282"/>
      <c r="K131" s="282"/>
      <c r="L131" s="282"/>
      <c r="X131" s="280"/>
      <c r="Y131" s="280"/>
      <c r="Z131" s="280"/>
      <c r="AA131" s="280"/>
      <c r="AB131" s="280"/>
      <c r="AC131" s="280"/>
    </row>
    <row r="132" spans="1:37" x14ac:dyDescent="0.25">
      <c r="A132" s="282"/>
      <c r="B132" s="282"/>
      <c r="C132" s="282"/>
      <c r="D132" s="282"/>
      <c r="E132" s="778"/>
      <c r="F132" s="282"/>
      <c r="G132" s="282"/>
      <c r="H132" s="282"/>
      <c r="I132" s="282"/>
      <c r="J132" s="282"/>
      <c r="K132" s="282"/>
      <c r="L132" s="282"/>
      <c r="X132" s="280"/>
      <c r="Y132" s="280"/>
      <c r="Z132" s="280"/>
      <c r="AA132" s="280"/>
      <c r="AB132" s="280"/>
      <c r="AC132" s="280"/>
    </row>
    <row r="133" spans="1:37" x14ac:dyDescent="0.25">
      <c r="A133" s="282"/>
      <c r="B133" s="282"/>
      <c r="C133" s="282"/>
      <c r="D133" s="282"/>
      <c r="E133" s="778"/>
      <c r="F133" s="282"/>
      <c r="G133" s="282"/>
      <c r="H133" s="282"/>
      <c r="I133" s="282"/>
      <c r="J133" s="282"/>
      <c r="K133" s="282"/>
      <c r="L133" s="282"/>
      <c r="X133" s="280"/>
      <c r="Y133" s="280"/>
      <c r="Z133" s="280"/>
      <c r="AA133" s="280"/>
      <c r="AB133" s="280"/>
      <c r="AC133" s="280"/>
    </row>
    <row r="134" spans="1:37" x14ac:dyDescent="0.25">
      <c r="A134" s="282"/>
      <c r="B134" s="282"/>
      <c r="C134" s="282"/>
      <c r="D134" s="282"/>
      <c r="E134" s="778"/>
      <c r="F134" s="282"/>
      <c r="G134" s="282"/>
      <c r="H134" s="282"/>
      <c r="I134" s="282"/>
      <c r="J134" s="282"/>
      <c r="K134" s="282"/>
      <c r="L134" s="282"/>
      <c r="X134" s="280"/>
      <c r="Y134" s="280"/>
      <c r="Z134" s="280"/>
      <c r="AA134" s="280"/>
      <c r="AB134" s="280"/>
      <c r="AC134" s="280"/>
    </row>
    <row r="135" spans="1:37" s="280" customFormat="1" x14ac:dyDescent="0.25">
      <c r="A135" s="282"/>
      <c r="B135" s="282"/>
      <c r="C135" s="282"/>
      <c r="D135" s="282"/>
      <c r="E135" s="778"/>
      <c r="F135" s="282"/>
      <c r="G135" s="282"/>
      <c r="H135" s="282"/>
      <c r="I135" s="282"/>
      <c r="J135" s="282"/>
      <c r="K135" s="282"/>
      <c r="L135" s="282"/>
      <c r="M135" s="257"/>
      <c r="N135" s="258"/>
      <c r="O135" s="258"/>
      <c r="AI135" s="230"/>
      <c r="AK135" s="230"/>
    </row>
    <row r="136" spans="1:37" s="280" customFormat="1" x14ac:dyDescent="0.25">
      <c r="A136" s="282"/>
      <c r="B136" s="282"/>
      <c r="C136" s="282"/>
      <c r="D136" s="282"/>
      <c r="E136" s="778"/>
      <c r="F136" s="282"/>
      <c r="G136" s="282"/>
      <c r="H136" s="282"/>
      <c r="I136" s="282"/>
      <c r="J136" s="282"/>
      <c r="K136" s="282"/>
      <c r="L136" s="282"/>
      <c r="M136" s="257"/>
      <c r="N136" s="258"/>
      <c r="O136" s="258"/>
      <c r="AI136" s="230"/>
      <c r="AK136" s="230"/>
    </row>
    <row r="137" spans="1:37" x14ac:dyDescent="0.25">
      <c r="A137" s="282"/>
      <c r="B137" s="282"/>
      <c r="C137" s="282"/>
      <c r="D137" s="282"/>
      <c r="E137" s="778"/>
      <c r="F137" s="282"/>
      <c r="G137" s="282"/>
      <c r="H137" s="282"/>
      <c r="I137" s="282"/>
      <c r="J137" s="282"/>
      <c r="K137" s="282"/>
      <c r="L137" s="282"/>
      <c r="X137" s="280"/>
      <c r="Y137" s="280"/>
      <c r="Z137" s="280"/>
      <c r="AA137" s="280"/>
      <c r="AB137" s="280"/>
      <c r="AC137" s="280"/>
    </row>
    <row r="138" spans="1:37" x14ac:dyDescent="0.25">
      <c r="A138" s="282"/>
      <c r="B138" s="282"/>
      <c r="C138" s="282"/>
      <c r="D138" s="282"/>
      <c r="E138" s="778"/>
      <c r="F138" s="282"/>
      <c r="G138" s="282"/>
      <c r="H138" s="282"/>
      <c r="I138" s="282"/>
      <c r="J138" s="282"/>
      <c r="K138" s="282"/>
      <c r="L138" s="282"/>
      <c r="X138" s="280"/>
      <c r="Y138" s="280"/>
      <c r="Z138" s="280"/>
      <c r="AA138" s="280"/>
      <c r="AB138" s="280"/>
      <c r="AC138" s="280"/>
    </row>
    <row r="139" spans="1:37" x14ac:dyDescent="0.25">
      <c r="A139" s="282"/>
      <c r="B139" s="282"/>
      <c r="C139" s="282"/>
      <c r="D139" s="282"/>
      <c r="E139" s="778"/>
      <c r="F139" s="282"/>
      <c r="G139" s="282"/>
      <c r="H139" s="282"/>
      <c r="I139" s="282"/>
      <c r="J139" s="282"/>
      <c r="K139" s="282"/>
      <c r="L139" s="282"/>
      <c r="X139" s="280"/>
      <c r="Y139" s="280"/>
      <c r="Z139" s="280"/>
      <c r="AA139" s="280"/>
      <c r="AB139" s="280"/>
      <c r="AC139" s="280"/>
    </row>
    <row r="140" spans="1:37" x14ac:dyDescent="0.25">
      <c r="A140" s="282"/>
      <c r="B140" s="282"/>
      <c r="C140" s="282"/>
      <c r="D140" s="282"/>
      <c r="E140" s="778"/>
      <c r="F140" s="282"/>
      <c r="G140" s="282"/>
      <c r="H140" s="282"/>
      <c r="I140" s="282"/>
      <c r="J140" s="282"/>
      <c r="K140" s="282"/>
      <c r="L140" s="282"/>
      <c r="M140" s="281"/>
      <c r="N140" s="281"/>
      <c r="O140" s="281"/>
      <c r="X140" s="280"/>
      <c r="Y140" s="280"/>
      <c r="Z140" s="280"/>
      <c r="AA140" s="280"/>
      <c r="AB140" s="280"/>
      <c r="AC140" s="280"/>
    </row>
    <row r="141" spans="1:37" x14ac:dyDescent="0.25">
      <c r="A141" s="282"/>
      <c r="B141" s="282"/>
      <c r="C141" s="282"/>
      <c r="D141" s="282"/>
      <c r="E141" s="778"/>
      <c r="F141" s="282"/>
      <c r="G141" s="282"/>
      <c r="H141" s="282"/>
      <c r="I141" s="282"/>
      <c r="J141" s="282"/>
      <c r="K141" s="282"/>
      <c r="L141" s="282"/>
      <c r="M141" s="281"/>
      <c r="N141" s="281"/>
      <c r="O141" s="281"/>
      <c r="X141" s="280"/>
      <c r="Y141" s="280"/>
      <c r="Z141" s="280"/>
      <c r="AA141" s="280"/>
      <c r="AB141" s="280"/>
      <c r="AC141" s="280"/>
    </row>
    <row r="142" spans="1:37" x14ac:dyDescent="0.25">
      <c r="A142" s="282"/>
      <c r="B142" s="282"/>
      <c r="C142" s="282"/>
      <c r="D142" s="282"/>
      <c r="E142" s="778"/>
      <c r="F142" s="282"/>
      <c r="G142" s="282"/>
      <c r="H142" s="282"/>
      <c r="I142" s="282"/>
      <c r="J142" s="282"/>
      <c r="K142" s="282"/>
      <c r="L142" s="282"/>
      <c r="M142" s="281"/>
      <c r="N142" s="281"/>
      <c r="O142" s="281"/>
      <c r="X142" s="280"/>
      <c r="Y142" s="280"/>
      <c r="Z142" s="280"/>
      <c r="AA142" s="280"/>
      <c r="AB142" s="280"/>
      <c r="AC142" s="280"/>
    </row>
    <row r="143" spans="1:37" x14ac:dyDescent="0.25">
      <c r="A143" s="282"/>
      <c r="B143" s="282"/>
      <c r="C143" s="282"/>
      <c r="D143" s="282"/>
      <c r="E143" s="778"/>
      <c r="F143" s="282"/>
      <c r="G143" s="282"/>
      <c r="H143" s="282"/>
      <c r="I143" s="282"/>
      <c r="J143" s="282"/>
      <c r="K143" s="282"/>
      <c r="L143" s="282"/>
      <c r="M143" s="281"/>
      <c r="N143" s="281"/>
      <c r="O143" s="281"/>
      <c r="P143" s="281"/>
      <c r="Q143" s="281"/>
      <c r="R143" s="281"/>
      <c r="S143" s="281"/>
      <c r="T143" s="280"/>
      <c r="U143" s="280"/>
      <c r="V143" s="280"/>
      <c r="W143" s="280"/>
      <c r="X143" s="280"/>
      <c r="Y143" s="280"/>
      <c r="Z143" s="280"/>
      <c r="AA143" s="280"/>
      <c r="AB143" s="280"/>
      <c r="AC143" s="280"/>
    </row>
    <row r="144" spans="1:37" x14ac:dyDescent="0.25">
      <c r="A144" s="282"/>
      <c r="B144" s="282"/>
      <c r="C144" s="282"/>
      <c r="D144" s="282"/>
      <c r="E144" s="778"/>
      <c r="F144" s="282"/>
      <c r="G144" s="282"/>
      <c r="H144" s="282"/>
      <c r="I144" s="282"/>
      <c r="J144" s="282"/>
      <c r="K144" s="282"/>
      <c r="L144" s="282"/>
      <c r="M144" s="281"/>
      <c r="N144" s="281"/>
      <c r="O144" s="281"/>
      <c r="P144" s="281"/>
      <c r="Q144" s="281"/>
      <c r="R144" s="281"/>
      <c r="S144" s="281"/>
      <c r="T144" s="280"/>
      <c r="U144" s="280"/>
      <c r="V144" s="280"/>
      <c r="W144" s="280"/>
      <c r="X144" s="280"/>
      <c r="Y144" s="280"/>
      <c r="Z144" s="280"/>
      <c r="AA144" s="280"/>
      <c r="AB144" s="280"/>
      <c r="AC144" s="280"/>
    </row>
    <row r="145" spans="1:30" x14ac:dyDescent="0.25">
      <c r="A145" s="282"/>
      <c r="B145" s="282"/>
      <c r="C145" s="282"/>
      <c r="D145" s="282"/>
      <c r="E145" s="778"/>
      <c r="F145" s="282"/>
      <c r="G145" s="282"/>
      <c r="H145" s="282"/>
      <c r="I145" s="282"/>
      <c r="J145" s="282"/>
      <c r="K145" s="282"/>
      <c r="L145" s="282"/>
      <c r="M145" s="281"/>
      <c r="N145" s="281"/>
      <c r="O145" s="281"/>
      <c r="P145" s="281"/>
      <c r="Q145" s="281"/>
      <c r="R145" s="281"/>
      <c r="S145" s="281"/>
      <c r="T145" s="280"/>
      <c r="U145" s="280"/>
      <c r="V145" s="280"/>
      <c r="W145" s="280"/>
      <c r="X145" s="280"/>
      <c r="Y145" s="280"/>
      <c r="Z145" s="280"/>
      <c r="AA145" s="280"/>
      <c r="AB145" s="280"/>
      <c r="AC145" s="280"/>
    </row>
    <row r="146" spans="1:30" x14ac:dyDescent="0.25">
      <c r="A146" s="282"/>
      <c r="B146" s="282"/>
      <c r="C146" s="282"/>
      <c r="D146" s="282"/>
      <c r="E146" s="778"/>
      <c r="F146" s="282"/>
      <c r="G146" s="282"/>
      <c r="H146" s="282"/>
      <c r="I146" s="282"/>
      <c r="J146" s="282"/>
      <c r="K146" s="282"/>
      <c r="L146" s="282"/>
      <c r="M146" s="281"/>
      <c r="N146" s="281"/>
      <c r="O146" s="281"/>
      <c r="P146" s="281"/>
      <c r="Q146" s="281"/>
      <c r="R146" s="281"/>
      <c r="S146" s="281"/>
      <c r="T146" s="280"/>
      <c r="U146" s="280"/>
      <c r="V146" s="280"/>
      <c r="W146" s="280"/>
      <c r="X146" s="280"/>
      <c r="Y146" s="280"/>
      <c r="Z146" s="280"/>
      <c r="AA146" s="280"/>
      <c r="AB146" s="280"/>
      <c r="AC146" s="280"/>
    </row>
    <row r="147" spans="1:30" x14ac:dyDescent="0.25">
      <c r="A147" s="282"/>
      <c r="B147" s="282"/>
      <c r="C147" s="282"/>
      <c r="D147" s="282"/>
      <c r="E147" s="778"/>
      <c r="F147" s="282"/>
      <c r="G147" s="282"/>
      <c r="H147" s="282"/>
      <c r="I147" s="282"/>
      <c r="J147" s="282"/>
      <c r="K147" s="282"/>
      <c r="L147" s="282"/>
      <c r="M147" s="281"/>
      <c r="N147" s="281"/>
      <c r="O147" s="281"/>
      <c r="P147" s="281"/>
      <c r="Q147" s="281"/>
      <c r="R147" s="281"/>
      <c r="S147" s="281"/>
      <c r="T147" s="280"/>
      <c r="U147" s="280"/>
      <c r="V147" s="280"/>
      <c r="W147" s="280"/>
      <c r="X147" s="280"/>
      <c r="Y147" s="280"/>
      <c r="Z147" s="280"/>
      <c r="AA147" s="280"/>
      <c r="AB147" s="280"/>
      <c r="AC147" s="280"/>
    </row>
    <row r="148" spans="1:30" x14ac:dyDescent="0.25">
      <c r="A148" s="282"/>
      <c r="B148" s="282"/>
      <c r="C148" s="282"/>
      <c r="D148" s="282"/>
      <c r="E148" s="778"/>
      <c r="F148" s="282"/>
      <c r="G148" s="282"/>
      <c r="H148" s="282"/>
      <c r="I148" s="282"/>
      <c r="J148" s="282"/>
      <c r="K148" s="282"/>
      <c r="L148" s="282"/>
      <c r="M148" s="281"/>
      <c r="N148" s="281"/>
      <c r="O148" s="281"/>
      <c r="P148" s="281"/>
      <c r="Q148" s="281"/>
      <c r="R148" s="281"/>
      <c r="S148" s="281"/>
      <c r="T148" s="280"/>
      <c r="U148" s="280"/>
      <c r="V148" s="280"/>
      <c r="W148" s="280"/>
      <c r="X148" s="280"/>
      <c r="Y148" s="280"/>
      <c r="Z148" s="280"/>
      <c r="AA148" s="280"/>
      <c r="AB148" s="280"/>
      <c r="AC148" s="280"/>
    </row>
    <row r="149" spans="1:30" x14ac:dyDescent="0.25">
      <c r="A149" s="282"/>
      <c r="B149" s="282"/>
      <c r="C149" s="282"/>
      <c r="D149" s="282"/>
      <c r="E149" s="778"/>
      <c r="F149" s="282"/>
      <c r="G149" s="282"/>
      <c r="H149" s="282"/>
      <c r="I149" s="282"/>
      <c r="J149" s="282"/>
      <c r="K149" s="282"/>
      <c r="L149" s="282"/>
      <c r="M149" s="281"/>
      <c r="N149" s="281"/>
      <c r="O149" s="281"/>
      <c r="P149" s="281"/>
      <c r="Q149" s="281"/>
      <c r="R149" s="281"/>
      <c r="S149" s="281"/>
      <c r="T149" s="280"/>
      <c r="U149" s="280"/>
      <c r="V149" s="280"/>
      <c r="W149" s="280"/>
      <c r="X149" s="280"/>
      <c r="Y149" s="280"/>
      <c r="Z149" s="280"/>
      <c r="AA149" s="280"/>
      <c r="AB149" s="280"/>
      <c r="AC149" s="280"/>
    </row>
    <row r="150" spans="1:30" x14ac:dyDescent="0.25">
      <c r="A150" s="282"/>
      <c r="B150" s="282"/>
      <c r="C150" s="282"/>
      <c r="D150" s="282"/>
      <c r="E150" s="778"/>
      <c r="F150" s="282"/>
      <c r="G150" s="282"/>
      <c r="H150" s="282"/>
      <c r="I150" s="282"/>
      <c r="J150" s="282"/>
      <c r="K150" s="282"/>
      <c r="L150" s="282"/>
      <c r="M150" s="281"/>
      <c r="N150" s="281"/>
      <c r="O150" s="281"/>
      <c r="P150" s="281"/>
      <c r="Q150" s="281"/>
      <c r="R150" s="281"/>
      <c r="S150" s="281"/>
      <c r="T150" s="280"/>
      <c r="U150" s="280"/>
      <c r="V150" s="280"/>
      <c r="W150" s="280"/>
      <c r="X150" s="280"/>
      <c r="Y150" s="280"/>
      <c r="Z150" s="280"/>
      <c r="AA150" s="280"/>
      <c r="AB150" s="280"/>
      <c r="AC150" s="280"/>
      <c r="AD150" s="280"/>
    </row>
    <row r="151" spans="1:30" x14ac:dyDescent="0.25">
      <c r="A151" s="282"/>
      <c r="B151" s="282"/>
      <c r="C151" s="282"/>
      <c r="D151" s="282"/>
      <c r="E151" s="778"/>
      <c r="F151" s="282"/>
      <c r="G151" s="282"/>
      <c r="H151" s="282"/>
      <c r="I151" s="282"/>
      <c r="J151" s="282"/>
      <c r="K151" s="282"/>
      <c r="L151" s="282"/>
      <c r="M151" s="281"/>
      <c r="N151" s="281"/>
      <c r="O151" s="281"/>
      <c r="P151" s="281"/>
      <c r="Q151" s="281"/>
      <c r="R151" s="281"/>
      <c r="S151" s="281"/>
      <c r="T151" s="280"/>
      <c r="U151" s="280"/>
      <c r="V151" s="280"/>
      <c r="W151" s="280"/>
      <c r="X151" s="280"/>
      <c r="Y151" s="280"/>
      <c r="Z151" s="280"/>
      <c r="AA151" s="280"/>
      <c r="AB151" s="280"/>
      <c r="AC151" s="280"/>
      <c r="AD151" s="280"/>
    </row>
    <row r="152" spans="1:30" x14ac:dyDescent="0.25">
      <c r="A152" s="282"/>
      <c r="B152" s="282"/>
      <c r="C152" s="282"/>
      <c r="D152" s="282"/>
      <c r="E152" s="778"/>
      <c r="F152" s="282"/>
      <c r="G152" s="282"/>
      <c r="H152" s="282"/>
      <c r="I152" s="282"/>
      <c r="J152" s="282"/>
      <c r="K152" s="282"/>
      <c r="L152" s="282"/>
      <c r="M152" s="281"/>
      <c r="N152" s="281"/>
      <c r="O152" s="281"/>
      <c r="P152" s="281"/>
      <c r="Q152" s="281"/>
      <c r="R152" s="281"/>
      <c r="S152" s="281"/>
      <c r="T152" s="280"/>
      <c r="U152" s="280"/>
      <c r="V152" s="280"/>
      <c r="W152" s="280"/>
      <c r="X152" s="280"/>
      <c r="Y152" s="280"/>
      <c r="Z152" s="280"/>
      <c r="AA152" s="280"/>
      <c r="AB152" s="280"/>
      <c r="AC152" s="280"/>
      <c r="AD152" s="280"/>
    </row>
    <row r="153" spans="1:30" x14ac:dyDescent="0.25">
      <c r="A153" s="282"/>
      <c r="B153" s="282"/>
      <c r="C153" s="282"/>
      <c r="D153" s="282"/>
      <c r="E153" s="778"/>
      <c r="F153" s="282"/>
      <c r="G153" s="282"/>
      <c r="H153" s="282"/>
      <c r="I153" s="282"/>
      <c r="J153" s="282"/>
      <c r="K153" s="282"/>
      <c r="L153" s="282"/>
      <c r="M153" s="281"/>
      <c r="N153" s="281"/>
      <c r="O153" s="281"/>
      <c r="P153" s="281"/>
      <c r="Q153" s="281"/>
      <c r="R153" s="281"/>
      <c r="S153" s="281"/>
      <c r="T153" s="280"/>
      <c r="U153" s="280"/>
      <c r="V153" s="280"/>
      <c r="W153" s="280"/>
      <c r="X153" s="280"/>
      <c r="Y153" s="280"/>
      <c r="Z153" s="280"/>
      <c r="AA153" s="280"/>
      <c r="AB153" s="280"/>
      <c r="AC153" s="280"/>
      <c r="AD153" s="280"/>
    </row>
    <row r="154" spans="1:30" x14ac:dyDescent="0.25">
      <c r="A154" s="282"/>
      <c r="B154" s="282"/>
      <c r="C154" s="282"/>
      <c r="D154" s="282"/>
      <c r="E154" s="778"/>
      <c r="F154" s="282"/>
      <c r="G154" s="282"/>
      <c r="H154" s="282"/>
      <c r="I154" s="282"/>
      <c r="J154" s="282"/>
      <c r="K154" s="282"/>
      <c r="L154" s="282"/>
      <c r="M154" s="281"/>
      <c r="N154" s="281"/>
      <c r="O154" s="281"/>
      <c r="P154" s="281"/>
      <c r="Q154" s="281"/>
      <c r="R154" s="281"/>
      <c r="S154" s="281"/>
      <c r="T154" s="280"/>
      <c r="U154" s="280"/>
      <c r="V154" s="280"/>
      <c r="W154" s="280"/>
      <c r="X154" s="280"/>
      <c r="Y154" s="280"/>
      <c r="Z154" s="280"/>
      <c r="AA154" s="280"/>
      <c r="AB154" s="280"/>
      <c r="AC154" s="280"/>
      <c r="AD154" s="280"/>
    </row>
    <row r="155" spans="1:30" x14ac:dyDescent="0.25">
      <c r="A155" s="282"/>
      <c r="B155" s="282"/>
      <c r="C155" s="282"/>
      <c r="D155" s="282"/>
      <c r="E155" s="778"/>
      <c r="F155" s="282"/>
      <c r="G155" s="282"/>
      <c r="H155" s="282"/>
      <c r="I155" s="282"/>
      <c r="J155" s="282"/>
      <c r="K155" s="282"/>
      <c r="L155" s="282"/>
      <c r="M155" s="281"/>
      <c r="N155" s="281"/>
      <c r="O155" s="281"/>
      <c r="P155" s="281"/>
      <c r="Q155" s="281"/>
      <c r="R155" s="281"/>
      <c r="S155" s="281"/>
      <c r="T155" s="280"/>
      <c r="U155" s="280"/>
      <c r="V155" s="280"/>
      <c r="W155" s="280"/>
      <c r="X155" s="280"/>
      <c r="Y155" s="280"/>
      <c r="Z155" s="280"/>
      <c r="AA155" s="280"/>
      <c r="AB155" s="280"/>
      <c r="AC155" s="280"/>
      <c r="AD155" s="280"/>
    </row>
    <row r="156" spans="1:30" x14ac:dyDescent="0.25">
      <c r="A156" s="282"/>
      <c r="B156" s="282"/>
      <c r="C156" s="282"/>
      <c r="D156" s="282"/>
      <c r="E156" s="778"/>
      <c r="F156" s="282"/>
      <c r="G156" s="282"/>
      <c r="H156" s="282"/>
      <c r="I156" s="282"/>
      <c r="J156" s="282"/>
      <c r="K156" s="282"/>
      <c r="L156" s="282"/>
      <c r="M156" s="281"/>
      <c r="N156" s="281"/>
      <c r="O156" s="281"/>
      <c r="P156" s="281"/>
      <c r="Q156" s="281"/>
      <c r="R156" s="281"/>
      <c r="S156" s="281"/>
      <c r="T156" s="280"/>
      <c r="U156" s="280"/>
      <c r="V156" s="280"/>
      <c r="W156" s="280"/>
      <c r="X156" s="280"/>
      <c r="Y156" s="280"/>
      <c r="Z156" s="280"/>
      <c r="AA156" s="280"/>
      <c r="AB156" s="280"/>
      <c r="AC156" s="280"/>
      <c r="AD156" s="280"/>
    </row>
    <row r="157" spans="1:30" x14ac:dyDescent="0.25">
      <c r="A157" s="282"/>
      <c r="B157" s="282"/>
      <c r="C157" s="282"/>
      <c r="D157" s="282"/>
      <c r="E157" s="778"/>
      <c r="F157" s="282"/>
      <c r="G157" s="282"/>
      <c r="H157" s="282"/>
      <c r="I157" s="282"/>
      <c r="J157" s="282"/>
      <c r="K157" s="282"/>
      <c r="L157" s="282"/>
      <c r="M157" s="281"/>
      <c r="N157" s="281"/>
      <c r="O157" s="281"/>
      <c r="P157" s="281"/>
      <c r="Q157" s="281"/>
      <c r="R157" s="281"/>
      <c r="S157" s="281"/>
      <c r="T157" s="280"/>
      <c r="U157" s="280"/>
      <c r="V157" s="280"/>
      <c r="W157" s="280"/>
      <c r="X157" s="280"/>
      <c r="Y157" s="280"/>
      <c r="Z157" s="280"/>
      <c r="AA157" s="280"/>
      <c r="AB157" s="280"/>
      <c r="AC157" s="280"/>
      <c r="AD157" s="280"/>
    </row>
    <row r="158" spans="1:30" x14ac:dyDescent="0.25">
      <c r="A158" s="282"/>
      <c r="B158" s="282"/>
      <c r="C158" s="282"/>
      <c r="D158" s="282"/>
      <c r="E158" s="778"/>
      <c r="F158" s="282"/>
      <c r="G158" s="282"/>
      <c r="H158" s="282"/>
      <c r="I158" s="282"/>
      <c r="J158" s="282"/>
      <c r="K158" s="282"/>
      <c r="L158" s="282"/>
      <c r="M158" s="281"/>
      <c r="N158" s="281"/>
      <c r="O158" s="281"/>
      <c r="P158" s="281"/>
      <c r="Q158" s="281"/>
      <c r="R158" s="281"/>
      <c r="S158" s="281"/>
      <c r="T158" s="280"/>
      <c r="U158" s="280"/>
      <c r="V158" s="280"/>
      <c r="W158" s="280"/>
      <c r="X158" s="280"/>
      <c r="Y158" s="280"/>
      <c r="Z158" s="280"/>
      <c r="AA158" s="280"/>
      <c r="AB158" s="280"/>
      <c r="AC158" s="280"/>
      <c r="AD158" s="280"/>
    </row>
    <row r="159" spans="1:30" x14ac:dyDescent="0.25">
      <c r="A159" s="282"/>
      <c r="B159" s="282"/>
      <c r="C159" s="282"/>
      <c r="D159" s="282"/>
      <c r="E159" s="778"/>
      <c r="F159" s="282"/>
      <c r="G159" s="282"/>
      <c r="H159" s="282"/>
      <c r="I159" s="282"/>
      <c r="J159" s="282"/>
      <c r="K159" s="282"/>
      <c r="L159" s="282"/>
      <c r="M159" s="281"/>
      <c r="N159" s="281"/>
      <c r="O159" s="281"/>
      <c r="P159" s="281"/>
      <c r="Q159" s="281"/>
      <c r="R159" s="281"/>
      <c r="S159" s="281"/>
      <c r="T159" s="280"/>
      <c r="U159" s="280"/>
      <c r="V159" s="280"/>
      <c r="W159" s="280"/>
      <c r="X159" s="280"/>
      <c r="Y159" s="280"/>
      <c r="Z159" s="280"/>
      <c r="AA159" s="280"/>
      <c r="AB159" s="280"/>
      <c r="AC159" s="280"/>
      <c r="AD159" s="280"/>
    </row>
    <row r="160" spans="1:30" x14ac:dyDescent="0.25">
      <c r="A160" s="282"/>
      <c r="B160" s="282"/>
      <c r="C160" s="282"/>
      <c r="D160" s="282"/>
      <c r="E160" s="778"/>
      <c r="F160" s="282"/>
      <c r="G160" s="282"/>
      <c r="H160" s="282"/>
      <c r="I160" s="282"/>
      <c r="J160" s="282"/>
      <c r="K160" s="282"/>
      <c r="L160" s="282"/>
      <c r="M160" s="281"/>
      <c r="N160" s="281"/>
      <c r="O160" s="281"/>
      <c r="P160" s="281"/>
      <c r="Q160" s="281"/>
      <c r="R160" s="281"/>
      <c r="S160" s="281"/>
      <c r="T160" s="280"/>
      <c r="U160" s="280"/>
      <c r="V160" s="280"/>
      <c r="W160" s="280"/>
      <c r="X160" s="280"/>
      <c r="Y160" s="280"/>
      <c r="Z160" s="280"/>
      <c r="AA160" s="280"/>
      <c r="AB160" s="280"/>
      <c r="AC160" s="280"/>
      <c r="AD160" s="280"/>
    </row>
    <row r="161" spans="1:30" x14ac:dyDescent="0.25">
      <c r="A161" s="282"/>
      <c r="B161" s="282"/>
      <c r="C161" s="282"/>
      <c r="D161" s="282"/>
      <c r="E161" s="778"/>
      <c r="F161" s="282"/>
      <c r="G161" s="282"/>
      <c r="H161" s="282"/>
      <c r="I161" s="282"/>
      <c r="J161" s="282"/>
      <c r="K161" s="282"/>
      <c r="L161" s="282"/>
      <c r="M161" s="281"/>
      <c r="N161" s="281"/>
      <c r="O161" s="281"/>
      <c r="P161" s="281"/>
      <c r="Q161" s="281"/>
      <c r="R161" s="281"/>
      <c r="S161" s="281"/>
      <c r="T161" s="280"/>
      <c r="U161" s="280"/>
      <c r="V161" s="280"/>
      <c r="W161" s="280"/>
      <c r="X161" s="280"/>
      <c r="Y161" s="280"/>
      <c r="Z161" s="280"/>
      <c r="AA161" s="280"/>
      <c r="AB161" s="280"/>
      <c r="AC161" s="280"/>
      <c r="AD161" s="280"/>
    </row>
    <row r="162" spans="1:30" x14ac:dyDescent="0.25">
      <c r="A162" s="282"/>
      <c r="B162" s="282"/>
      <c r="C162" s="282"/>
      <c r="D162" s="282"/>
      <c r="E162" s="778"/>
      <c r="F162" s="282"/>
      <c r="G162" s="282"/>
      <c r="H162" s="282"/>
      <c r="I162" s="282"/>
      <c r="J162" s="282"/>
      <c r="K162" s="282"/>
      <c r="L162" s="282"/>
      <c r="M162" s="281"/>
      <c r="N162" s="281"/>
      <c r="O162" s="281"/>
      <c r="P162" s="281"/>
      <c r="Q162" s="281"/>
      <c r="R162" s="281"/>
      <c r="S162" s="281"/>
      <c r="T162" s="280"/>
      <c r="U162" s="280"/>
      <c r="V162" s="280"/>
      <c r="W162" s="280"/>
      <c r="X162" s="280"/>
      <c r="Y162" s="280"/>
      <c r="Z162" s="280"/>
      <c r="AA162" s="280"/>
      <c r="AB162" s="280"/>
      <c r="AC162" s="280"/>
      <c r="AD162" s="280"/>
    </row>
    <row r="163" spans="1:30" x14ac:dyDescent="0.25">
      <c r="A163" s="282"/>
      <c r="B163" s="282"/>
      <c r="C163" s="282"/>
      <c r="D163" s="282"/>
      <c r="E163" s="778"/>
      <c r="F163" s="282"/>
      <c r="G163" s="282"/>
      <c r="H163" s="282"/>
      <c r="I163" s="282"/>
      <c r="J163" s="282"/>
      <c r="K163" s="282"/>
      <c r="L163" s="282"/>
      <c r="M163" s="281"/>
      <c r="N163" s="281"/>
      <c r="O163" s="281"/>
      <c r="P163" s="281"/>
      <c r="Q163" s="281"/>
      <c r="R163" s="281"/>
      <c r="S163" s="281"/>
      <c r="T163" s="280"/>
      <c r="U163" s="280"/>
      <c r="V163" s="280"/>
      <c r="W163" s="280"/>
      <c r="X163" s="280"/>
      <c r="Y163" s="280"/>
      <c r="Z163" s="280"/>
      <c r="AA163" s="280"/>
      <c r="AB163" s="280"/>
      <c r="AC163" s="280"/>
      <c r="AD163" s="280"/>
    </row>
    <row r="164" spans="1:30" x14ac:dyDescent="0.25">
      <c r="A164" s="282"/>
      <c r="B164" s="282"/>
      <c r="C164" s="282"/>
      <c r="D164" s="282"/>
      <c r="E164" s="778"/>
      <c r="F164" s="282"/>
      <c r="G164" s="282"/>
      <c r="H164" s="282"/>
      <c r="I164" s="282"/>
      <c r="J164" s="282"/>
      <c r="K164" s="282"/>
      <c r="L164" s="282"/>
      <c r="M164" s="281"/>
      <c r="N164" s="281"/>
      <c r="O164" s="281"/>
      <c r="P164" s="281"/>
      <c r="Q164" s="281"/>
      <c r="R164" s="281"/>
      <c r="S164" s="281"/>
      <c r="T164" s="280"/>
      <c r="U164" s="280"/>
      <c r="V164" s="280"/>
      <c r="W164" s="280"/>
      <c r="X164" s="280"/>
      <c r="Y164" s="280"/>
      <c r="Z164" s="280"/>
      <c r="AA164" s="280"/>
      <c r="AB164" s="280"/>
      <c r="AC164" s="280"/>
      <c r="AD164" s="280"/>
    </row>
    <row r="165" spans="1:30" x14ac:dyDescent="0.25">
      <c r="A165" s="282"/>
      <c r="B165" s="282"/>
      <c r="C165" s="282"/>
      <c r="D165" s="282"/>
      <c r="E165" s="778"/>
      <c r="F165" s="282"/>
      <c r="G165" s="282"/>
      <c r="H165" s="282"/>
      <c r="I165" s="282"/>
      <c r="J165" s="282"/>
      <c r="K165" s="282"/>
      <c r="L165" s="282"/>
      <c r="M165" s="281"/>
      <c r="N165" s="281"/>
      <c r="O165" s="281"/>
      <c r="P165" s="281"/>
      <c r="Q165" s="281"/>
      <c r="R165" s="281"/>
      <c r="S165" s="281"/>
      <c r="T165" s="280"/>
      <c r="U165" s="280"/>
      <c r="V165" s="280"/>
      <c r="W165" s="280"/>
      <c r="X165" s="280"/>
      <c r="Y165" s="280"/>
      <c r="Z165" s="280"/>
      <c r="AA165" s="280"/>
      <c r="AB165" s="280"/>
      <c r="AC165" s="280"/>
      <c r="AD165" s="280"/>
    </row>
    <row r="166" spans="1:30" x14ac:dyDescent="0.25">
      <c r="A166" s="282"/>
      <c r="B166" s="282"/>
      <c r="C166" s="282"/>
      <c r="D166" s="282"/>
      <c r="E166" s="778"/>
      <c r="F166" s="282"/>
      <c r="G166" s="282"/>
      <c r="H166" s="282"/>
      <c r="I166" s="282"/>
      <c r="J166" s="282"/>
      <c r="K166" s="282"/>
      <c r="L166" s="282"/>
      <c r="M166" s="281"/>
      <c r="N166" s="281"/>
      <c r="O166" s="281"/>
      <c r="P166" s="281"/>
      <c r="Q166" s="281"/>
      <c r="R166" s="281"/>
      <c r="S166" s="281"/>
      <c r="T166" s="280"/>
      <c r="U166" s="280"/>
      <c r="V166" s="280"/>
      <c r="W166" s="280"/>
      <c r="X166" s="280"/>
      <c r="Y166" s="280"/>
      <c r="Z166" s="280"/>
      <c r="AA166" s="280"/>
      <c r="AB166" s="280"/>
      <c r="AC166" s="280"/>
      <c r="AD166" s="280"/>
    </row>
    <row r="167" spans="1:30" x14ac:dyDescent="0.25">
      <c r="A167" s="282"/>
      <c r="B167" s="282"/>
      <c r="C167" s="282"/>
      <c r="D167" s="282"/>
      <c r="E167" s="778"/>
      <c r="F167" s="282"/>
      <c r="G167" s="282"/>
      <c r="H167" s="282"/>
      <c r="I167" s="282"/>
      <c r="J167" s="282"/>
      <c r="K167" s="282"/>
      <c r="L167" s="282"/>
      <c r="M167" s="281"/>
      <c r="N167" s="281"/>
      <c r="O167" s="281"/>
      <c r="P167" s="281"/>
      <c r="Q167" s="281"/>
      <c r="R167" s="281"/>
      <c r="S167" s="281"/>
      <c r="T167" s="280"/>
      <c r="U167" s="280"/>
      <c r="V167" s="280"/>
      <c r="W167" s="280"/>
      <c r="X167" s="280"/>
      <c r="Y167" s="280"/>
      <c r="Z167" s="280"/>
      <c r="AA167" s="280"/>
      <c r="AB167" s="280"/>
      <c r="AC167" s="280"/>
      <c r="AD167" s="280"/>
    </row>
    <row r="168" spans="1:30" x14ac:dyDescent="0.25">
      <c r="A168" s="282"/>
      <c r="B168" s="282"/>
      <c r="C168" s="282"/>
      <c r="D168" s="282"/>
      <c r="E168" s="778"/>
      <c r="F168" s="282"/>
      <c r="G168" s="282"/>
      <c r="H168" s="282"/>
      <c r="I168" s="282"/>
      <c r="J168" s="282"/>
      <c r="K168" s="282"/>
      <c r="L168" s="282"/>
      <c r="M168" s="281"/>
      <c r="N168" s="281"/>
      <c r="O168" s="281"/>
      <c r="P168" s="281"/>
      <c r="Q168" s="281"/>
      <c r="R168" s="281"/>
      <c r="S168" s="281"/>
      <c r="T168" s="280"/>
      <c r="U168" s="280"/>
      <c r="V168" s="280"/>
      <c r="W168" s="280"/>
      <c r="X168" s="280"/>
      <c r="Y168" s="280"/>
      <c r="Z168" s="280"/>
      <c r="AA168" s="280"/>
      <c r="AB168" s="280"/>
      <c r="AC168" s="280"/>
      <c r="AD168" s="280"/>
    </row>
    <row r="169" spans="1:30" x14ac:dyDescent="0.25">
      <c r="A169" s="282"/>
      <c r="B169" s="282"/>
      <c r="C169" s="282"/>
      <c r="D169" s="282"/>
      <c r="E169" s="778"/>
      <c r="F169" s="282"/>
      <c r="G169" s="282"/>
      <c r="H169" s="282"/>
      <c r="I169" s="282"/>
      <c r="J169" s="282"/>
      <c r="K169" s="282"/>
      <c r="L169" s="282"/>
      <c r="M169" s="281"/>
      <c r="N169" s="281"/>
      <c r="O169" s="281"/>
      <c r="P169" s="281"/>
      <c r="Q169" s="281"/>
      <c r="R169" s="281"/>
      <c r="S169" s="281"/>
      <c r="T169" s="280"/>
      <c r="U169" s="280"/>
      <c r="V169" s="280"/>
      <c r="W169" s="280"/>
      <c r="X169" s="280"/>
      <c r="Y169" s="280"/>
      <c r="Z169" s="280"/>
      <c r="AA169" s="280"/>
      <c r="AB169" s="280"/>
      <c r="AC169" s="280"/>
      <c r="AD169" s="280"/>
    </row>
    <row r="170" spans="1:30" x14ac:dyDescent="0.25">
      <c r="A170" s="282"/>
      <c r="B170" s="282"/>
      <c r="C170" s="282"/>
      <c r="D170" s="282"/>
      <c r="E170" s="778"/>
      <c r="F170" s="282"/>
      <c r="G170" s="282"/>
      <c r="H170" s="282"/>
      <c r="I170" s="282"/>
      <c r="J170" s="282"/>
      <c r="K170" s="282"/>
      <c r="L170" s="282"/>
      <c r="M170" s="281"/>
      <c r="N170" s="281"/>
      <c r="O170" s="281"/>
      <c r="P170" s="281"/>
      <c r="Q170" s="281"/>
      <c r="R170" s="281"/>
      <c r="S170" s="281"/>
      <c r="T170" s="280"/>
      <c r="U170" s="280"/>
      <c r="V170" s="280"/>
      <c r="W170" s="280"/>
      <c r="X170" s="280"/>
      <c r="Y170" s="280"/>
      <c r="Z170" s="280"/>
      <c r="AA170" s="280"/>
      <c r="AB170" s="280"/>
      <c r="AC170" s="280"/>
      <c r="AD170" s="280"/>
    </row>
    <row r="171" spans="1:30" x14ac:dyDescent="0.25">
      <c r="A171" s="282"/>
      <c r="B171" s="282"/>
      <c r="C171" s="282"/>
      <c r="D171" s="282"/>
      <c r="E171" s="778"/>
      <c r="F171" s="282"/>
      <c r="G171" s="282"/>
      <c r="H171" s="282"/>
      <c r="I171" s="282"/>
      <c r="J171" s="282"/>
      <c r="K171" s="282"/>
      <c r="L171" s="282"/>
      <c r="M171" s="281"/>
      <c r="N171" s="281"/>
      <c r="O171" s="281"/>
      <c r="P171" s="281"/>
      <c r="Q171" s="281"/>
      <c r="R171" s="281"/>
      <c r="S171" s="281"/>
      <c r="T171" s="280"/>
      <c r="U171" s="280"/>
      <c r="V171" s="280"/>
      <c r="W171" s="280"/>
      <c r="X171" s="280"/>
      <c r="Y171" s="280"/>
      <c r="Z171" s="280"/>
      <c r="AA171" s="280"/>
      <c r="AB171" s="280"/>
      <c r="AC171" s="280"/>
      <c r="AD171" s="280"/>
    </row>
    <row r="172" spans="1:30" x14ac:dyDescent="0.25">
      <c r="A172" s="282"/>
      <c r="B172" s="282"/>
      <c r="C172" s="282"/>
      <c r="D172" s="282"/>
      <c r="E172" s="778"/>
      <c r="F172" s="282"/>
      <c r="G172" s="282"/>
      <c r="H172" s="282"/>
      <c r="I172" s="282"/>
      <c r="J172" s="282"/>
      <c r="K172" s="282"/>
      <c r="L172" s="282"/>
      <c r="M172" s="281"/>
      <c r="N172" s="281"/>
      <c r="O172" s="281"/>
      <c r="P172" s="281"/>
      <c r="Q172" s="281"/>
      <c r="R172" s="281"/>
      <c r="S172" s="281"/>
      <c r="T172" s="280"/>
      <c r="U172" s="280"/>
      <c r="V172" s="280"/>
      <c r="W172" s="280"/>
      <c r="X172" s="280"/>
      <c r="Y172" s="280"/>
      <c r="Z172" s="280"/>
      <c r="AA172" s="280"/>
      <c r="AB172" s="280"/>
      <c r="AC172" s="280"/>
      <c r="AD172" s="280"/>
    </row>
    <row r="173" spans="1:30" x14ac:dyDescent="0.25">
      <c r="A173" s="282"/>
      <c r="B173" s="282"/>
      <c r="C173" s="282"/>
      <c r="D173" s="282"/>
      <c r="E173" s="778"/>
      <c r="F173" s="282"/>
      <c r="G173" s="282"/>
      <c r="H173" s="282"/>
      <c r="I173" s="282"/>
      <c r="J173" s="282"/>
      <c r="K173" s="282"/>
      <c r="L173" s="282"/>
      <c r="M173" s="281"/>
      <c r="N173" s="281"/>
      <c r="O173" s="281"/>
      <c r="P173" s="281"/>
      <c r="Q173" s="281"/>
      <c r="R173" s="281"/>
      <c r="S173" s="281"/>
      <c r="T173" s="280"/>
      <c r="U173" s="280"/>
      <c r="V173" s="280"/>
      <c r="W173" s="280"/>
      <c r="X173" s="280"/>
      <c r="Y173" s="280"/>
      <c r="Z173" s="280"/>
      <c r="AA173" s="280"/>
      <c r="AB173" s="280"/>
      <c r="AC173" s="280"/>
      <c r="AD173" s="280"/>
    </row>
    <row r="174" spans="1:30" x14ac:dyDescent="0.25">
      <c r="A174" s="282"/>
      <c r="B174" s="282"/>
      <c r="C174" s="282"/>
      <c r="D174" s="282"/>
      <c r="E174" s="778"/>
      <c r="F174" s="282"/>
      <c r="G174" s="282"/>
      <c r="H174" s="282"/>
      <c r="I174" s="282"/>
      <c r="J174" s="282"/>
      <c r="K174" s="282"/>
      <c r="L174" s="282"/>
      <c r="M174" s="281"/>
      <c r="N174" s="281"/>
      <c r="O174" s="281"/>
      <c r="P174" s="281"/>
      <c r="Q174" s="281"/>
      <c r="R174" s="281"/>
      <c r="S174" s="281"/>
      <c r="T174" s="280"/>
      <c r="U174" s="280"/>
      <c r="V174" s="280"/>
      <c r="W174" s="280"/>
      <c r="X174" s="280"/>
      <c r="Y174" s="280"/>
      <c r="Z174" s="280"/>
      <c r="AA174" s="280"/>
      <c r="AB174" s="280"/>
      <c r="AC174" s="280"/>
      <c r="AD174" s="280"/>
    </row>
    <row r="175" spans="1:30" x14ac:dyDescent="0.25">
      <c r="A175" s="282"/>
      <c r="B175" s="282"/>
      <c r="C175" s="282"/>
      <c r="D175" s="282"/>
      <c r="E175" s="778"/>
      <c r="F175" s="282"/>
      <c r="G175" s="282"/>
      <c r="H175" s="282"/>
      <c r="I175" s="282"/>
      <c r="J175" s="282"/>
      <c r="K175" s="282"/>
      <c r="L175" s="282"/>
      <c r="M175" s="281"/>
      <c r="N175" s="281"/>
      <c r="O175" s="281"/>
      <c r="P175" s="281"/>
      <c r="Q175" s="281"/>
      <c r="R175" s="281"/>
      <c r="S175" s="281"/>
      <c r="T175" s="280"/>
      <c r="U175" s="280"/>
      <c r="V175" s="280"/>
      <c r="W175" s="280"/>
      <c r="X175" s="280"/>
      <c r="Y175" s="280"/>
      <c r="Z175" s="280"/>
      <c r="AA175" s="280"/>
      <c r="AB175" s="280"/>
      <c r="AC175" s="280"/>
      <c r="AD175" s="280"/>
    </row>
    <row r="176" spans="1:30" x14ac:dyDescent="0.25">
      <c r="A176" s="282"/>
      <c r="B176" s="282"/>
      <c r="C176" s="282"/>
      <c r="D176" s="282"/>
      <c r="E176" s="778"/>
      <c r="F176" s="282"/>
      <c r="G176" s="282"/>
      <c r="H176" s="282"/>
      <c r="I176" s="282"/>
      <c r="J176" s="282"/>
      <c r="K176" s="282"/>
      <c r="L176" s="282"/>
      <c r="M176" s="281"/>
      <c r="N176" s="281"/>
      <c r="O176" s="281"/>
      <c r="P176" s="281"/>
      <c r="Q176" s="281"/>
      <c r="R176" s="281"/>
      <c r="S176" s="281"/>
      <c r="T176" s="280"/>
      <c r="U176" s="280"/>
      <c r="V176" s="280"/>
      <c r="W176" s="280"/>
      <c r="X176" s="280"/>
      <c r="Y176" s="280"/>
      <c r="Z176" s="280"/>
      <c r="AA176" s="280"/>
      <c r="AB176" s="280"/>
      <c r="AC176" s="280"/>
      <c r="AD176" s="280"/>
    </row>
    <row r="177" spans="1:30" x14ac:dyDescent="0.25">
      <c r="A177" s="282"/>
      <c r="B177" s="282"/>
      <c r="C177" s="282"/>
      <c r="D177" s="282"/>
      <c r="E177" s="778"/>
      <c r="F177" s="282"/>
      <c r="G177" s="282"/>
      <c r="H177" s="282"/>
      <c r="I177" s="282"/>
      <c r="J177" s="282"/>
      <c r="K177" s="282"/>
      <c r="L177" s="282"/>
      <c r="M177" s="281"/>
      <c r="N177" s="281"/>
      <c r="O177" s="281"/>
      <c r="P177" s="281"/>
      <c r="Q177" s="281"/>
      <c r="R177" s="281"/>
      <c r="S177" s="281"/>
      <c r="T177" s="280"/>
      <c r="U177" s="280"/>
      <c r="V177" s="280"/>
      <c r="W177" s="280"/>
      <c r="X177" s="280"/>
      <c r="Y177" s="280"/>
      <c r="Z177" s="280"/>
      <c r="AA177" s="280"/>
      <c r="AB177" s="280"/>
      <c r="AC177" s="280"/>
      <c r="AD177" s="280"/>
    </row>
    <row r="178" spans="1:30" x14ac:dyDescent="0.25">
      <c r="A178" s="282"/>
      <c r="B178" s="282"/>
      <c r="C178" s="282"/>
      <c r="D178" s="282"/>
      <c r="E178" s="778"/>
      <c r="F178" s="282"/>
      <c r="G178" s="282"/>
      <c r="H178" s="282"/>
      <c r="I178" s="282"/>
      <c r="J178" s="282"/>
      <c r="K178" s="282"/>
      <c r="L178" s="282"/>
      <c r="M178" s="281"/>
      <c r="N178" s="281"/>
      <c r="O178" s="281"/>
      <c r="P178" s="281"/>
      <c r="Q178" s="281"/>
      <c r="R178" s="281"/>
      <c r="S178" s="281"/>
      <c r="T178" s="280"/>
      <c r="U178" s="280"/>
      <c r="V178" s="280"/>
      <c r="W178" s="280"/>
      <c r="X178" s="280"/>
      <c r="Y178" s="280"/>
      <c r="Z178" s="280"/>
      <c r="AA178" s="280"/>
      <c r="AB178" s="280"/>
      <c r="AC178" s="280"/>
      <c r="AD178" s="280"/>
    </row>
    <row r="179" spans="1:30" x14ac:dyDescent="0.25">
      <c r="A179" s="282"/>
      <c r="B179" s="282"/>
      <c r="C179" s="282"/>
      <c r="D179" s="282"/>
      <c r="E179" s="778"/>
      <c r="F179" s="282"/>
      <c r="G179" s="282"/>
      <c r="H179" s="282"/>
      <c r="I179" s="282"/>
      <c r="J179" s="282"/>
      <c r="K179" s="282"/>
      <c r="L179" s="282"/>
      <c r="M179" s="281"/>
      <c r="N179" s="281"/>
      <c r="O179" s="281"/>
      <c r="P179" s="281"/>
      <c r="Q179" s="281"/>
      <c r="R179" s="281"/>
      <c r="S179" s="281"/>
      <c r="T179" s="280"/>
      <c r="U179" s="280"/>
      <c r="V179" s="280"/>
      <c r="W179" s="280"/>
      <c r="X179" s="280"/>
      <c r="Y179" s="280"/>
      <c r="Z179" s="280"/>
      <c r="AA179" s="280"/>
      <c r="AB179" s="280"/>
      <c r="AC179" s="280"/>
      <c r="AD179" s="280"/>
    </row>
    <row r="180" spans="1:30" x14ac:dyDescent="0.25">
      <c r="A180" s="282"/>
      <c r="B180" s="282"/>
      <c r="C180" s="282"/>
      <c r="D180" s="282"/>
      <c r="E180" s="778"/>
      <c r="F180" s="282"/>
      <c r="G180" s="282"/>
      <c r="H180" s="282"/>
      <c r="I180" s="282"/>
      <c r="J180" s="282"/>
      <c r="K180" s="282"/>
      <c r="L180" s="282"/>
      <c r="M180" s="281"/>
      <c r="N180" s="281"/>
      <c r="O180" s="281"/>
      <c r="P180" s="281"/>
      <c r="Q180" s="281"/>
      <c r="R180" s="281"/>
      <c r="S180" s="281"/>
      <c r="T180" s="280"/>
      <c r="U180" s="280"/>
      <c r="V180" s="280"/>
      <c r="W180" s="280"/>
      <c r="X180" s="280"/>
      <c r="Y180" s="280"/>
      <c r="Z180" s="280"/>
      <c r="AA180" s="280"/>
      <c r="AB180" s="280"/>
      <c r="AC180" s="280"/>
      <c r="AD180" s="280"/>
    </row>
    <row r="181" spans="1:30" x14ac:dyDescent="0.25">
      <c r="A181" s="282"/>
      <c r="B181" s="282"/>
      <c r="C181" s="282"/>
      <c r="D181" s="282"/>
      <c r="E181" s="778"/>
      <c r="F181" s="282"/>
      <c r="G181" s="282"/>
      <c r="H181" s="282"/>
      <c r="I181" s="282"/>
      <c r="J181" s="282"/>
      <c r="K181" s="282"/>
      <c r="L181" s="282"/>
      <c r="M181" s="281"/>
      <c r="N181" s="281"/>
      <c r="O181" s="281"/>
      <c r="P181" s="281"/>
      <c r="Q181" s="281"/>
      <c r="R181" s="281"/>
      <c r="S181" s="281"/>
      <c r="T181" s="280"/>
      <c r="U181" s="280"/>
      <c r="V181" s="280"/>
      <c r="W181" s="280"/>
      <c r="X181" s="280"/>
      <c r="Y181" s="280"/>
      <c r="Z181" s="280"/>
      <c r="AA181" s="280"/>
      <c r="AB181" s="280"/>
      <c r="AC181" s="280"/>
      <c r="AD181" s="280"/>
    </row>
    <row r="182" spans="1:30" x14ac:dyDescent="0.25">
      <c r="A182" s="282"/>
      <c r="B182" s="282"/>
      <c r="C182" s="282"/>
      <c r="D182" s="282"/>
      <c r="E182" s="778"/>
      <c r="F182" s="282"/>
      <c r="G182" s="282"/>
      <c r="H182" s="282"/>
      <c r="I182" s="282"/>
      <c r="J182" s="282"/>
      <c r="K182" s="282"/>
      <c r="L182" s="282"/>
      <c r="M182" s="281"/>
      <c r="N182" s="281"/>
      <c r="O182" s="281"/>
      <c r="P182" s="281"/>
      <c r="Q182" s="281"/>
      <c r="R182" s="281"/>
      <c r="S182" s="281"/>
      <c r="T182" s="280"/>
      <c r="U182" s="280"/>
      <c r="V182" s="280"/>
      <c r="W182" s="280"/>
      <c r="X182" s="280"/>
      <c r="Y182" s="280"/>
      <c r="Z182" s="280"/>
      <c r="AA182" s="280"/>
      <c r="AB182" s="280"/>
      <c r="AC182" s="280"/>
      <c r="AD182" s="280"/>
    </row>
    <row r="183" spans="1:30" x14ac:dyDescent="0.25">
      <c r="A183" s="282"/>
      <c r="B183" s="282"/>
      <c r="C183" s="282"/>
      <c r="D183" s="282"/>
      <c r="E183" s="778"/>
      <c r="F183" s="282"/>
      <c r="G183" s="282"/>
      <c r="H183" s="282"/>
      <c r="I183" s="282"/>
      <c r="J183" s="282"/>
      <c r="K183" s="282"/>
      <c r="L183" s="282"/>
      <c r="M183" s="281"/>
      <c r="N183" s="281"/>
      <c r="O183" s="281"/>
      <c r="P183" s="281"/>
      <c r="Q183" s="281"/>
      <c r="R183" s="281"/>
      <c r="S183" s="281"/>
      <c r="T183" s="280"/>
      <c r="U183" s="280"/>
      <c r="V183" s="280"/>
      <c r="W183" s="280"/>
      <c r="X183" s="280"/>
      <c r="Y183" s="280"/>
      <c r="Z183" s="280"/>
      <c r="AA183" s="280"/>
      <c r="AB183" s="280"/>
      <c r="AC183" s="280"/>
      <c r="AD183" s="280"/>
    </row>
    <row r="184" spans="1:30" x14ac:dyDescent="0.25">
      <c r="A184" s="282"/>
      <c r="B184" s="282"/>
      <c r="C184" s="282"/>
      <c r="D184" s="282"/>
      <c r="E184" s="778"/>
      <c r="F184" s="282"/>
      <c r="G184" s="282"/>
      <c r="H184" s="282"/>
      <c r="I184" s="282"/>
      <c r="J184" s="282"/>
      <c r="K184" s="282"/>
      <c r="L184" s="282"/>
      <c r="M184" s="281"/>
      <c r="N184" s="281"/>
      <c r="O184" s="281"/>
      <c r="P184" s="281"/>
      <c r="Q184" s="281"/>
      <c r="R184" s="281"/>
      <c r="S184" s="281"/>
      <c r="T184" s="280"/>
      <c r="U184" s="280"/>
      <c r="V184" s="280"/>
      <c r="W184" s="280"/>
      <c r="X184" s="280"/>
      <c r="Y184" s="280"/>
      <c r="Z184" s="280"/>
      <c r="AA184" s="280"/>
      <c r="AB184" s="280"/>
      <c r="AC184" s="280"/>
      <c r="AD184" s="280"/>
    </row>
    <row r="185" spans="1:30" x14ac:dyDescent="0.25">
      <c r="A185" s="282"/>
      <c r="B185" s="282"/>
      <c r="C185" s="282"/>
      <c r="D185" s="282"/>
      <c r="E185" s="778"/>
      <c r="F185" s="282"/>
      <c r="G185" s="282"/>
      <c r="H185" s="282"/>
      <c r="I185" s="282"/>
      <c r="J185" s="282"/>
      <c r="K185" s="282"/>
      <c r="L185" s="282"/>
      <c r="M185" s="281"/>
      <c r="N185" s="281"/>
      <c r="O185" s="281"/>
      <c r="P185" s="281"/>
      <c r="Q185" s="281"/>
      <c r="R185" s="281"/>
      <c r="S185" s="281"/>
      <c r="T185" s="280"/>
      <c r="U185" s="280"/>
      <c r="V185" s="280"/>
      <c r="W185" s="280"/>
      <c r="X185" s="280"/>
      <c r="Y185" s="280"/>
      <c r="Z185" s="280"/>
      <c r="AA185" s="280"/>
      <c r="AB185" s="280"/>
      <c r="AC185" s="280"/>
      <c r="AD185" s="280"/>
    </row>
    <row r="186" spans="1:30" x14ac:dyDescent="0.25">
      <c r="A186" s="282"/>
      <c r="B186" s="282"/>
      <c r="C186" s="282"/>
      <c r="D186" s="282"/>
      <c r="E186" s="778"/>
      <c r="F186" s="282"/>
      <c r="G186" s="282"/>
      <c r="H186" s="282"/>
      <c r="I186" s="282"/>
      <c r="J186" s="282"/>
      <c r="K186" s="282"/>
      <c r="L186" s="282"/>
      <c r="M186" s="281"/>
      <c r="N186" s="281"/>
      <c r="O186" s="281"/>
      <c r="P186" s="281"/>
      <c r="Q186" s="281"/>
      <c r="R186" s="281"/>
      <c r="S186" s="281"/>
      <c r="T186" s="280"/>
      <c r="U186" s="280"/>
      <c r="V186" s="280"/>
      <c r="W186" s="280"/>
      <c r="X186" s="280"/>
      <c r="Y186" s="280"/>
      <c r="Z186" s="280"/>
      <c r="AA186" s="280"/>
      <c r="AB186" s="280"/>
      <c r="AC186" s="280"/>
      <c r="AD186" s="280"/>
    </row>
    <row r="187" spans="1:30" x14ac:dyDescent="0.25">
      <c r="A187" s="282"/>
      <c r="B187" s="282"/>
      <c r="C187" s="282"/>
      <c r="D187" s="282"/>
      <c r="E187" s="778"/>
      <c r="F187" s="282"/>
      <c r="G187" s="282"/>
      <c r="H187" s="282"/>
      <c r="I187" s="282"/>
      <c r="J187" s="282"/>
      <c r="K187" s="282"/>
      <c r="L187" s="282"/>
      <c r="M187" s="281"/>
      <c r="N187" s="281"/>
      <c r="O187" s="281"/>
      <c r="P187" s="281"/>
      <c r="Q187" s="281"/>
      <c r="R187" s="281"/>
      <c r="S187" s="281"/>
      <c r="T187" s="280"/>
      <c r="U187" s="280"/>
      <c r="V187" s="280"/>
      <c r="W187" s="280"/>
      <c r="X187" s="280"/>
      <c r="Y187" s="280"/>
      <c r="Z187" s="280"/>
      <c r="AA187" s="280"/>
      <c r="AB187" s="280"/>
      <c r="AC187" s="280"/>
      <c r="AD187" s="280"/>
    </row>
    <row r="188" spans="1:30" x14ac:dyDescent="0.25">
      <c r="A188" s="282"/>
      <c r="B188" s="282"/>
      <c r="C188" s="282"/>
      <c r="D188" s="282"/>
      <c r="E188" s="778"/>
      <c r="F188" s="282"/>
      <c r="G188" s="282"/>
      <c r="H188" s="282"/>
      <c r="I188" s="282"/>
      <c r="J188" s="282"/>
      <c r="K188" s="282"/>
      <c r="L188" s="282"/>
      <c r="M188" s="281"/>
      <c r="N188" s="281"/>
      <c r="O188" s="281"/>
      <c r="P188" s="281"/>
      <c r="Q188" s="281"/>
      <c r="R188" s="281"/>
      <c r="S188" s="281"/>
      <c r="T188" s="280"/>
      <c r="U188" s="280"/>
      <c r="V188" s="280"/>
      <c r="W188" s="280"/>
      <c r="X188" s="280"/>
      <c r="Y188" s="280"/>
      <c r="Z188" s="280"/>
      <c r="AA188" s="280"/>
      <c r="AB188" s="280"/>
      <c r="AC188" s="280"/>
      <c r="AD188" s="280"/>
    </row>
    <row r="189" spans="1:30" x14ac:dyDescent="0.25">
      <c r="A189" s="282"/>
      <c r="B189" s="282"/>
      <c r="C189" s="282"/>
      <c r="D189" s="282"/>
      <c r="E189" s="778"/>
      <c r="F189" s="282"/>
      <c r="G189" s="282"/>
      <c r="H189" s="282"/>
      <c r="I189" s="282"/>
      <c r="J189" s="282"/>
      <c r="K189" s="282"/>
      <c r="L189" s="282"/>
      <c r="M189" s="281"/>
      <c r="N189" s="281"/>
      <c r="O189" s="281"/>
      <c r="P189" s="281"/>
      <c r="Q189" s="281"/>
      <c r="R189" s="281"/>
      <c r="S189" s="281"/>
      <c r="T189" s="280"/>
      <c r="U189" s="280"/>
      <c r="V189" s="280"/>
      <c r="W189" s="280"/>
      <c r="X189" s="280"/>
      <c r="Y189" s="280"/>
      <c r="Z189" s="280"/>
      <c r="AA189" s="280"/>
      <c r="AB189" s="280"/>
      <c r="AC189" s="280"/>
      <c r="AD189" s="280"/>
    </row>
    <row r="190" spans="1:30" x14ac:dyDescent="0.25">
      <c r="A190" s="282"/>
      <c r="B190" s="282"/>
      <c r="C190" s="282"/>
      <c r="D190" s="282"/>
      <c r="E190" s="778"/>
      <c r="F190" s="282"/>
      <c r="G190" s="282"/>
      <c r="H190" s="282"/>
      <c r="I190" s="282"/>
      <c r="J190" s="282"/>
      <c r="K190" s="282"/>
      <c r="L190" s="282"/>
      <c r="M190" s="281"/>
      <c r="N190" s="281"/>
      <c r="O190" s="281"/>
      <c r="P190" s="281"/>
      <c r="Q190" s="281"/>
      <c r="R190" s="281"/>
      <c r="S190" s="281"/>
      <c r="T190" s="280"/>
      <c r="U190" s="280"/>
      <c r="V190" s="280"/>
      <c r="W190" s="280"/>
      <c r="X190" s="280"/>
      <c r="Y190" s="280"/>
      <c r="Z190" s="280"/>
      <c r="AA190" s="280"/>
      <c r="AB190" s="280"/>
      <c r="AC190" s="280"/>
      <c r="AD190" s="280"/>
    </row>
    <row r="191" spans="1:30" x14ac:dyDescent="0.25">
      <c r="A191" s="282"/>
      <c r="B191" s="282"/>
      <c r="C191" s="282"/>
      <c r="D191" s="282"/>
      <c r="E191" s="778"/>
      <c r="F191" s="282"/>
      <c r="G191" s="282"/>
      <c r="H191" s="282"/>
      <c r="I191" s="282"/>
      <c r="J191" s="282"/>
      <c r="K191" s="282"/>
      <c r="L191" s="282"/>
      <c r="M191" s="281"/>
      <c r="N191" s="281"/>
      <c r="O191" s="281"/>
      <c r="P191" s="281"/>
      <c r="Q191" s="281"/>
      <c r="R191" s="281"/>
      <c r="S191" s="281"/>
      <c r="T191" s="280"/>
      <c r="U191" s="280"/>
      <c r="V191" s="280"/>
      <c r="W191" s="280"/>
      <c r="X191" s="280"/>
      <c r="Y191" s="280"/>
      <c r="Z191" s="280"/>
      <c r="AA191" s="280"/>
      <c r="AB191" s="280"/>
      <c r="AC191" s="280"/>
      <c r="AD191" s="280"/>
    </row>
    <row r="192" spans="1:30" x14ac:dyDescent="0.25">
      <c r="A192" s="282"/>
      <c r="B192" s="282"/>
      <c r="C192" s="282"/>
      <c r="D192" s="282"/>
      <c r="E192" s="778"/>
      <c r="F192" s="282"/>
      <c r="G192" s="282"/>
      <c r="H192" s="282"/>
      <c r="I192" s="282"/>
      <c r="J192" s="282"/>
      <c r="K192" s="282"/>
      <c r="L192" s="282"/>
      <c r="M192" s="281"/>
      <c r="N192" s="281"/>
      <c r="O192" s="281"/>
      <c r="P192" s="281"/>
      <c r="Q192" s="281"/>
      <c r="R192" s="281"/>
      <c r="S192" s="281"/>
      <c r="T192" s="280"/>
      <c r="U192" s="280"/>
      <c r="V192" s="280"/>
      <c r="W192" s="280"/>
      <c r="X192" s="280"/>
      <c r="Y192" s="280"/>
      <c r="Z192" s="280"/>
      <c r="AA192" s="280"/>
      <c r="AB192" s="280"/>
      <c r="AC192" s="280"/>
      <c r="AD192" s="280"/>
    </row>
    <row r="193" spans="1:30" x14ac:dyDescent="0.25">
      <c r="A193" s="282"/>
      <c r="B193" s="282"/>
      <c r="C193" s="282"/>
      <c r="D193" s="282"/>
      <c r="E193" s="778"/>
      <c r="F193" s="282"/>
      <c r="G193" s="282"/>
      <c r="H193" s="282"/>
      <c r="I193" s="282"/>
      <c r="J193" s="282"/>
      <c r="K193" s="282"/>
      <c r="L193" s="282"/>
      <c r="M193" s="281"/>
      <c r="N193" s="281"/>
      <c r="O193" s="281"/>
      <c r="P193" s="281"/>
      <c r="Q193" s="281"/>
      <c r="R193" s="281"/>
      <c r="S193" s="281"/>
      <c r="T193" s="280"/>
      <c r="U193" s="280"/>
      <c r="V193" s="280"/>
      <c r="W193" s="280"/>
      <c r="X193" s="280"/>
      <c r="Y193" s="280"/>
      <c r="Z193" s="280"/>
      <c r="AA193" s="280"/>
      <c r="AB193" s="280"/>
      <c r="AC193" s="280"/>
      <c r="AD193" s="280"/>
    </row>
    <row r="194" spans="1:30" x14ac:dyDescent="0.25">
      <c r="A194" s="282"/>
      <c r="B194" s="282"/>
      <c r="C194" s="282"/>
      <c r="D194" s="282"/>
      <c r="E194" s="778"/>
      <c r="F194" s="282"/>
      <c r="G194" s="282"/>
      <c r="H194" s="282"/>
      <c r="I194" s="282"/>
      <c r="J194" s="282"/>
      <c r="K194" s="282"/>
      <c r="L194" s="282"/>
      <c r="M194" s="281"/>
      <c r="N194" s="281"/>
      <c r="O194" s="281"/>
      <c r="P194" s="281"/>
      <c r="Q194" s="281"/>
      <c r="R194" s="281"/>
      <c r="S194" s="281"/>
      <c r="T194" s="280"/>
      <c r="U194" s="280"/>
      <c r="V194" s="280"/>
      <c r="W194" s="280"/>
      <c r="X194" s="280"/>
      <c r="Y194" s="280"/>
      <c r="Z194" s="280"/>
      <c r="AA194" s="280"/>
      <c r="AB194" s="280"/>
      <c r="AC194" s="280"/>
      <c r="AD194" s="280"/>
    </row>
    <row r="195" spans="1:30" x14ac:dyDescent="0.25">
      <c r="A195" s="282"/>
      <c r="B195" s="282"/>
      <c r="C195" s="282"/>
      <c r="D195" s="282"/>
      <c r="E195" s="778"/>
      <c r="F195" s="282"/>
      <c r="G195" s="282"/>
      <c r="H195" s="282"/>
      <c r="I195" s="282"/>
      <c r="J195" s="282"/>
      <c r="K195" s="282"/>
      <c r="L195" s="282"/>
      <c r="M195" s="281"/>
      <c r="N195" s="281"/>
      <c r="O195" s="281"/>
      <c r="P195" s="281"/>
      <c r="Q195" s="281"/>
      <c r="R195" s="281"/>
      <c r="S195" s="281"/>
      <c r="T195" s="280"/>
      <c r="U195" s="280"/>
      <c r="V195" s="280"/>
      <c r="W195" s="280"/>
      <c r="X195" s="280"/>
      <c r="Y195" s="280"/>
      <c r="Z195" s="280"/>
      <c r="AA195" s="280"/>
      <c r="AB195" s="280"/>
      <c r="AC195" s="280"/>
      <c r="AD195" s="280"/>
    </row>
    <row r="196" spans="1:30" x14ac:dyDescent="0.25">
      <c r="A196" s="282"/>
      <c r="B196" s="282"/>
      <c r="C196" s="282"/>
      <c r="D196" s="282"/>
      <c r="E196" s="778"/>
      <c r="F196" s="282"/>
      <c r="G196" s="282"/>
      <c r="H196" s="282"/>
      <c r="I196" s="282"/>
      <c r="J196" s="282"/>
      <c r="K196" s="282"/>
      <c r="L196" s="282"/>
      <c r="M196" s="281"/>
      <c r="N196" s="281"/>
      <c r="O196" s="281"/>
      <c r="P196" s="281"/>
      <c r="Q196" s="281"/>
      <c r="R196" s="281"/>
      <c r="S196" s="281"/>
      <c r="T196" s="280"/>
      <c r="U196" s="280"/>
      <c r="V196" s="280"/>
      <c r="W196" s="280"/>
      <c r="X196" s="280"/>
      <c r="Y196" s="280"/>
      <c r="Z196" s="280"/>
      <c r="AA196" s="280"/>
      <c r="AB196" s="280"/>
      <c r="AC196" s="280"/>
      <c r="AD196" s="280"/>
    </row>
    <row r="197" spans="1:30" x14ac:dyDescent="0.25">
      <c r="A197" s="282"/>
      <c r="B197" s="282"/>
      <c r="C197" s="282"/>
      <c r="D197" s="282"/>
      <c r="E197" s="778"/>
      <c r="F197" s="282"/>
      <c r="G197" s="282"/>
      <c r="H197" s="282"/>
      <c r="I197" s="282"/>
      <c r="J197" s="282"/>
      <c r="K197" s="282"/>
      <c r="L197" s="282"/>
      <c r="M197" s="281"/>
      <c r="N197" s="281"/>
      <c r="O197" s="281"/>
      <c r="P197" s="281"/>
      <c r="Q197" s="281"/>
      <c r="R197" s="281"/>
      <c r="S197" s="281"/>
      <c r="T197" s="280"/>
      <c r="U197" s="280"/>
      <c r="V197" s="280"/>
      <c r="W197" s="280"/>
      <c r="X197" s="280"/>
      <c r="Y197" s="280"/>
      <c r="Z197" s="280"/>
      <c r="AA197" s="280"/>
      <c r="AB197" s="280"/>
      <c r="AC197" s="280"/>
      <c r="AD197" s="280"/>
    </row>
    <row r="198" spans="1:30" x14ac:dyDescent="0.25">
      <c r="A198" s="282"/>
      <c r="B198" s="282"/>
      <c r="C198" s="282"/>
      <c r="D198" s="282"/>
      <c r="E198" s="778"/>
      <c r="F198" s="282"/>
      <c r="G198" s="282"/>
      <c r="H198" s="282"/>
      <c r="I198" s="282"/>
      <c r="J198" s="282"/>
      <c r="K198" s="282"/>
      <c r="L198" s="282"/>
      <c r="M198" s="281"/>
      <c r="N198" s="281"/>
      <c r="O198" s="281"/>
      <c r="P198" s="281"/>
      <c r="Q198" s="281"/>
      <c r="R198" s="281"/>
      <c r="S198" s="281"/>
      <c r="T198" s="280"/>
      <c r="U198" s="280"/>
      <c r="V198" s="280"/>
      <c r="W198" s="280"/>
      <c r="X198" s="280"/>
      <c r="Y198" s="280"/>
      <c r="Z198" s="280"/>
      <c r="AA198" s="280"/>
      <c r="AB198" s="280"/>
      <c r="AC198" s="280"/>
      <c r="AD198" s="280"/>
    </row>
    <row r="199" spans="1:30" x14ac:dyDescent="0.25">
      <c r="A199" s="282"/>
      <c r="B199" s="282"/>
      <c r="C199" s="282"/>
      <c r="D199" s="282"/>
      <c r="E199" s="778"/>
      <c r="F199" s="282"/>
      <c r="G199" s="282"/>
      <c r="H199" s="282"/>
      <c r="I199" s="282"/>
      <c r="J199" s="282"/>
      <c r="K199" s="282"/>
      <c r="L199" s="282"/>
      <c r="M199" s="281"/>
      <c r="N199" s="281"/>
      <c r="O199" s="281"/>
      <c r="P199" s="281"/>
      <c r="Q199" s="281"/>
      <c r="R199" s="281"/>
      <c r="S199" s="281"/>
      <c r="T199" s="280"/>
      <c r="U199" s="280"/>
      <c r="V199" s="280"/>
      <c r="W199" s="280"/>
      <c r="X199" s="280"/>
      <c r="Y199" s="280"/>
      <c r="Z199" s="280"/>
      <c r="AA199" s="280"/>
      <c r="AB199" s="280"/>
      <c r="AC199" s="280"/>
    </row>
    <row r="200" spans="1:30" x14ac:dyDescent="0.25">
      <c r="A200" s="282"/>
      <c r="B200" s="282"/>
      <c r="C200" s="282"/>
      <c r="D200" s="282"/>
      <c r="E200" s="778"/>
      <c r="F200" s="282"/>
      <c r="G200" s="282"/>
      <c r="H200" s="282"/>
      <c r="I200" s="282"/>
      <c r="J200" s="282"/>
      <c r="K200" s="282"/>
      <c r="L200" s="282"/>
      <c r="M200" s="281"/>
      <c r="N200" s="281"/>
      <c r="O200" s="281"/>
      <c r="P200" s="281"/>
      <c r="Q200" s="281"/>
      <c r="R200" s="281"/>
      <c r="S200" s="281"/>
      <c r="T200" s="280"/>
      <c r="U200" s="280"/>
      <c r="V200" s="280"/>
      <c r="W200" s="280"/>
      <c r="X200" s="280"/>
      <c r="Y200" s="280"/>
      <c r="Z200" s="280"/>
      <c r="AA200" s="280"/>
      <c r="AB200" s="280"/>
      <c r="AC200" s="280"/>
    </row>
    <row r="201" spans="1:30" x14ac:dyDescent="0.25">
      <c r="A201" s="282"/>
      <c r="B201" s="282"/>
      <c r="C201" s="282"/>
      <c r="D201" s="282"/>
      <c r="E201" s="778"/>
      <c r="F201" s="282"/>
      <c r="G201" s="282"/>
      <c r="H201" s="282"/>
      <c r="I201" s="282"/>
      <c r="J201" s="282"/>
      <c r="K201" s="282"/>
      <c r="L201" s="282"/>
      <c r="M201" s="281"/>
      <c r="N201" s="281"/>
      <c r="O201" s="281"/>
      <c r="P201" s="281"/>
      <c r="Q201" s="281"/>
      <c r="R201" s="281"/>
      <c r="S201" s="281"/>
      <c r="T201" s="280"/>
      <c r="U201" s="280"/>
      <c r="V201" s="280"/>
      <c r="W201" s="280"/>
      <c r="X201" s="280"/>
      <c r="Y201" s="280"/>
      <c r="Z201" s="280"/>
      <c r="AA201" s="280"/>
      <c r="AB201" s="280"/>
      <c r="AC201" s="280"/>
    </row>
    <row r="202" spans="1:30" x14ac:dyDescent="0.25">
      <c r="A202" s="282"/>
      <c r="B202" s="282"/>
      <c r="C202" s="282"/>
      <c r="D202" s="282"/>
      <c r="E202" s="778"/>
      <c r="F202" s="282"/>
      <c r="G202" s="282"/>
      <c r="H202" s="282"/>
      <c r="I202" s="282"/>
      <c r="J202" s="282"/>
      <c r="K202" s="282"/>
      <c r="L202" s="282"/>
      <c r="M202" s="281"/>
      <c r="N202" s="281"/>
      <c r="O202" s="281"/>
      <c r="P202" s="281"/>
      <c r="Q202" s="281"/>
      <c r="R202" s="281"/>
      <c r="S202" s="281"/>
      <c r="T202" s="280"/>
      <c r="U202" s="280"/>
      <c r="V202" s="280"/>
      <c r="W202" s="280"/>
      <c r="X202" s="280"/>
      <c r="Y202" s="280"/>
      <c r="Z202" s="280"/>
      <c r="AA202" s="280"/>
      <c r="AB202" s="280"/>
      <c r="AC202" s="280"/>
    </row>
    <row r="203" spans="1:30" x14ac:dyDescent="0.25">
      <c r="A203" s="282"/>
      <c r="B203" s="282"/>
      <c r="C203" s="282"/>
      <c r="D203" s="282"/>
      <c r="E203" s="778"/>
      <c r="F203" s="282"/>
      <c r="G203" s="282"/>
      <c r="H203" s="282"/>
      <c r="I203" s="282"/>
      <c r="J203" s="282"/>
      <c r="K203" s="282"/>
      <c r="L203" s="282"/>
      <c r="M203" s="281"/>
      <c r="N203" s="281"/>
      <c r="O203" s="281"/>
      <c r="P203" s="281"/>
      <c r="Q203" s="281"/>
      <c r="R203" s="281"/>
      <c r="S203" s="281"/>
      <c r="T203" s="280"/>
      <c r="U203" s="280"/>
      <c r="V203" s="280"/>
      <c r="W203" s="280"/>
      <c r="X203" s="280"/>
      <c r="Y203" s="280"/>
      <c r="Z203" s="280"/>
      <c r="AA203" s="280"/>
      <c r="AB203" s="280"/>
      <c r="AC203" s="280"/>
    </row>
    <row r="204" spans="1:30" x14ac:dyDescent="0.25">
      <c r="A204" s="282"/>
      <c r="B204" s="282"/>
      <c r="C204" s="282"/>
      <c r="D204" s="282"/>
      <c r="E204" s="778"/>
      <c r="F204" s="282"/>
      <c r="G204" s="282"/>
      <c r="H204" s="282"/>
      <c r="I204" s="282"/>
      <c r="J204" s="282"/>
      <c r="K204" s="282"/>
      <c r="L204" s="282"/>
      <c r="M204" s="281"/>
      <c r="N204" s="281"/>
      <c r="O204" s="281"/>
      <c r="P204" s="281"/>
      <c r="Q204" s="281"/>
      <c r="R204" s="281"/>
      <c r="S204" s="281"/>
      <c r="T204" s="280"/>
      <c r="U204" s="280"/>
      <c r="V204" s="280"/>
      <c r="W204" s="280"/>
      <c r="X204" s="280"/>
      <c r="Y204" s="280"/>
      <c r="Z204" s="280"/>
      <c r="AA204" s="280"/>
      <c r="AB204" s="280"/>
      <c r="AC204" s="280"/>
    </row>
    <row r="205" spans="1:30" x14ac:dyDescent="0.25">
      <c r="A205" s="282"/>
      <c r="B205" s="282"/>
      <c r="C205" s="282"/>
      <c r="D205" s="282"/>
      <c r="E205" s="778"/>
      <c r="F205" s="282"/>
      <c r="G205" s="282"/>
      <c r="H205" s="282"/>
      <c r="I205" s="282"/>
      <c r="J205" s="282"/>
      <c r="K205" s="282"/>
      <c r="L205" s="282"/>
      <c r="M205" s="281"/>
      <c r="N205" s="281"/>
      <c r="O205" s="281"/>
      <c r="P205" s="281"/>
      <c r="Q205" s="281"/>
      <c r="R205" s="281"/>
      <c r="S205" s="281"/>
      <c r="T205" s="280"/>
      <c r="U205" s="280"/>
      <c r="V205" s="280"/>
      <c r="W205" s="280"/>
      <c r="X205" s="280"/>
      <c r="Y205" s="280"/>
      <c r="Z205" s="280"/>
      <c r="AA205" s="280"/>
      <c r="AB205" s="280"/>
      <c r="AC205" s="280"/>
    </row>
    <row r="206" spans="1:30" x14ac:dyDescent="0.25">
      <c r="A206" s="282"/>
      <c r="B206" s="282"/>
      <c r="C206" s="282"/>
      <c r="D206" s="282"/>
      <c r="E206" s="778"/>
      <c r="F206" s="282"/>
      <c r="G206" s="282"/>
      <c r="H206" s="282"/>
      <c r="I206" s="282"/>
      <c r="J206" s="282"/>
      <c r="K206" s="282"/>
      <c r="L206" s="282"/>
      <c r="M206" s="281"/>
      <c r="N206" s="281"/>
      <c r="O206" s="281"/>
      <c r="P206" s="281"/>
      <c r="Q206" s="281"/>
      <c r="R206" s="281"/>
      <c r="S206" s="281"/>
      <c r="T206" s="280"/>
      <c r="U206" s="280"/>
      <c r="V206" s="280"/>
      <c r="W206" s="280"/>
      <c r="X206" s="280"/>
      <c r="Y206" s="280"/>
      <c r="Z206" s="280"/>
      <c r="AA206" s="280"/>
      <c r="AB206" s="280"/>
      <c r="AC206" s="280"/>
    </row>
    <row r="207" spans="1:30" x14ac:dyDescent="0.25">
      <c r="A207" s="282"/>
      <c r="B207" s="282"/>
      <c r="C207" s="282"/>
      <c r="D207" s="282"/>
      <c r="E207" s="778"/>
      <c r="F207" s="282"/>
      <c r="G207" s="282"/>
      <c r="H207" s="282"/>
      <c r="I207" s="282"/>
      <c r="J207" s="282"/>
      <c r="K207" s="282"/>
      <c r="L207" s="282"/>
      <c r="M207" s="281"/>
      <c r="N207" s="281"/>
      <c r="O207" s="281"/>
      <c r="P207" s="281"/>
      <c r="Q207" s="281"/>
      <c r="R207" s="281"/>
      <c r="S207" s="281"/>
      <c r="T207" s="280"/>
      <c r="U207" s="280"/>
      <c r="V207" s="280"/>
      <c r="W207" s="280"/>
      <c r="X207" s="280"/>
      <c r="Y207" s="280"/>
      <c r="Z207" s="280"/>
      <c r="AA207" s="280"/>
      <c r="AB207" s="280"/>
      <c r="AC207" s="280"/>
    </row>
    <row r="208" spans="1:30" x14ac:dyDescent="0.25">
      <c r="A208" s="282"/>
      <c r="B208" s="282"/>
      <c r="C208" s="282"/>
      <c r="D208" s="282"/>
      <c r="E208" s="778"/>
      <c r="F208" s="282"/>
      <c r="G208" s="282"/>
      <c r="H208" s="282"/>
      <c r="I208" s="282"/>
      <c r="J208" s="282"/>
      <c r="K208" s="282"/>
      <c r="L208" s="282"/>
      <c r="M208" s="281"/>
      <c r="N208" s="281"/>
      <c r="O208" s="281"/>
      <c r="P208" s="281"/>
      <c r="Q208" s="281"/>
      <c r="R208" s="281"/>
      <c r="S208" s="281"/>
      <c r="T208" s="280"/>
      <c r="U208" s="280"/>
      <c r="V208" s="280"/>
      <c r="W208" s="280"/>
      <c r="X208" s="280"/>
      <c r="Y208" s="280"/>
      <c r="Z208" s="280"/>
      <c r="AA208" s="280"/>
      <c r="AB208" s="280"/>
      <c r="AC208" s="280"/>
    </row>
    <row r="209" spans="1:29" x14ac:dyDescent="0.25">
      <c r="A209" s="282"/>
      <c r="B209" s="282"/>
      <c r="C209" s="282"/>
      <c r="D209" s="282"/>
      <c r="E209" s="778"/>
      <c r="F209" s="282"/>
      <c r="G209" s="282"/>
      <c r="H209" s="282"/>
      <c r="I209" s="282"/>
      <c r="J209" s="282"/>
      <c r="K209" s="282"/>
      <c r="L209" s="282"/>
      <c r="M209" s="281"/>
      <c r="N209" s="281"/>
      <c r="O209" s="281"/>
      <c r="P209" s="281"/>
      <c r="Q209" s="281"/>
      <c r="R209" s="281"/>
      <c r="S209" s="281"/>
      <c r="T209" s="280"/>
      <c r="U209" s="280"/>
      <c r="V209" s="280"/>
      <c r="W209" s="280"/>
      <c r="X209" s="280"/>
      <c r="Y209" s="280"/>
      <c r="Z209" s="280"/>
      <c r="AA209" s="280"/>
      <c r="AB209" s="280"/>
      <c r="AC209" s="280"/>
    </row>
    <row r="210" spans="1:29" x14ac:dyDescent="0.25">
      <c r="A210" s="282"/>
      <c r="B210" s="282"/>
      <c r="C210" s="282"/>
      <c r="D210" s="282"/>
      <c r="E210" s="778"/>
      <c r="F210" s="282"/>
      <c r="G210" s="282"/>
      <c r="H210" s="282"/>
      <c r="I210" s="282"/>
      <c r="J210" s="282"/>
      <c r="K210" s="282"/>
      <c r="L210" s="282"/>
      <c r="M210" s="281"/>
      <c r="N210" s="281"/>
      <c r="O210" s="281"/>
      <c r="P210" s="281"/>
      <c r="Q210" s="281"/>
      <c r="R210" s="281"/>
      <c r="S210" s="281"/>
      <c r="T210" s="280"/>
      <c r="U210" s="280"/>
      <c r="V210" s="280"/>
      <c r="W210" s="280"/>
      <c r="X210" s="280"/>
      <c r="Y210" s="280"/>
      <c r="Z210" s="280"/>
      <c r="AA210" s="280"/>
      <c r="AB210" s="280"/>
      <c r="AC210" s="280"/>
    </row>
    <row r="211" spans="1:29" x14ac:dyDescent="0.25">
      <c r="A211" s="282"/>
      <c r="B211" s="282"/>
      <c r="C211" s="282"/>
      <c r="D211" s="282"/>
      <c r="E211" s="778"/>
      <c r="F211" s="282"/>
      <c r="G211" s="282"/>
      <c r="H211" s="282"/>
      <c r="I211" s="282"/>
      <c r="J211" s="282"/>
      <c r="K211" s="282"/>
      <c r="L211" s="282"/>
      <c r="M211" s="281"/>
      <c r="N211" s="281"/>
      <c r="O211" s="281"/>
      <c r="P211" s="281"/>
      <c r="Q211" s="281"/>
      <c r="R211" s="281"/>
      <c r="S211" s="281"/>
      <c r="T211" s="280"/>
      <c r="U211" s="280"/>
      <c r="V211" s="280"/>
      <c r="W211" s="280"/>
      <c r="X211" s="280"/>
      <c r="Y211" s="280"/>
      <c r="Z211" s="280"/>
      <c r="AA211" s="280"/>
      <c r="AB211" s="280"/>
      <c r="AC211" s="280"/>
    </row>
    <row r="212" spans="1:29" x14ac:dyDescent="0.25">
      <c r="A212" s="282"/>
      <c r="B212" s="282"/>
      <c r="C212" s="282"/>
      <c r="D212" s="282"/>
      <c r="E212" s="778"/>
      <c r="F212" s="282"/>
      <c r="G212" s="282"/>
      <c r="H212" s="282"/>
      <c r="I212" s="282"/>
      <c r="J212" s="282"/>
      <c r="K212" s="282"/>
      <c r="L212" s="282"/>
      <c r="M212" s="281"/>
      <c r="N212" s="281"/>
      <c r="O212" s="281"/>
      <c r="P212" s="281"/>
      <c r="Q212" s="281"/>
      <c r="R212" s="281"/>
      <c r="S212" s="281"/>
      <c r="T212" s="280"/>
      <c r="U212" s="280"/>
      <c r="V212" s="280"/>
      <c r="W212" s="280"/>
      <c r="X212" s="280"/>
      <c r="Y212" s="280"/>
      <c r="Z212" s="280"/>
      <c r="AA212" s="280"/>
      <c r="AB212" s="280"/>
      <c r="AC212" s="280"/>
    </row>
    <row r="213" spans="1:29" x14ac:dyDescent="0.25">
      <c r="A213" s="282"/>
      <c r="B213" s="282"/>
      <c r="C213" s="282"/>
      <c r="D213" s="282"/>
      <c r="E213" s="778"/>
      <c r="F213" s="282"/>
      <c r="G213" s="282"/>
      <c r="H213" s="282"/>
      <c r="I213" s="282"/>
      <c r="J213" s="282"/>
      <c r="K213" s="282"/>
      <c r="L213" s="282"/>
      <c r="M213" s="281"/>
      <c r="N213" s="281"/>
      <c r="O213" s="281"/>
      <c r="P213" s="281"/>
      <c r="Q213" s="281"/>
      <c r="R213" s="281"/>
      <c r="S213" s="281"/>
      <c r="T213" s="280"/>
      <c r="U213" s="280"/>
      <c r="V213" s="280"/>
      <c r="W213" s="280"/>
      <c r="X213" s="280"/>
      <c r="Y213" s="280"/>
      <c r="Z213" s="280"/>
      <c r="AA213" s="280"/>
      <c r="AB213" s="280"/>
      <c r="AC213" s="280"/>
    </row>
    <row r="214" spans="1:29" x14ac:dyDescent="0.25">
      <c r="A214" s="282"/>
      <c r="B214" s="282"/>
      <c r="C214" s="282"/>
      <c r="D214" s="282"/>
      <c r="E214" s="778"/>
      <c r="F214" s="282"/>
      <c r="G214" s="282"/>
      <c r="H214" s="282"/>
      <c r="I214" s="282"/>
      <c r="J214" s="282"/>
      <c r="K214" s="282"/>
      <c r="L214" s="282"/>
      <c r="M214" s="281"/>
      <c r="N214" s="281"/>
      <c r="O214" s="281"/>
      <c r="P214" s="281"/>
      <c r="Q214" s="281"/>
      <c r="R214" s="281"/>
      <c r="S214" s="281"/>
      <c r="T214" s="280"/>
      <c r="U214" s="280"/>
      <c r="V214" s="280"/>
      <c r="W214" s="280"/>
      <c r="X214" s="280"/>
      <c r="Y214" s="280"/>
      <c r="Z214" s="280"/>
      <c r="AA214" s="280"/>
      <c r="AB214" s="280"/>
      <c r="AC214" s="280"/>
    </row>
    <row r="215" spans="1:29" x14ac:dyDescent="0.25">
      <c r="A215" s="282"/>
      <c r="B215" s="282"/>
      <c r="C215" s="282"/>
      <c r="D215" s="282"/>
      <c r="E215" s="778"/>
      <c r="F215" s="282"/>
      <c r="G215" s="282"/>
      <c r="H215" s="282"/>
      <c r="I215" s="282"/>
      <c r="J215" s="282"/>
      <c r="K215" s="282"/>
      <c r="L215" s="282"/>
      <c r="M215" s="281"/>
      <c r="N215" s="281"/>
      <c r="O215" s="281"/>
      <c r="P215" s="281"/>
      <c r="Q215" s="281"/>
      <c r="R215" s="281"/>
      <c r="S215" s="281"/>
      <c r="T215" s="280"/>
      <c r="U215" s="280"/>
      <c r="V215" s="280"/>
      <c r="W215" s="280"/>
      <c r="X215" s="280"/>
      <c r="Y215" s="280"/>
      <c r="Z215" s="280"/>
      <c r="AA215" s="280"/>
      <c r="AB215" s="280"/>
      <c r="AC215" s="280"/>
    </row>
    <row r="216" spans="1:29" x14ac:dyDescent="0.25">
      <c r="A216" s="282"/>
      <c r="B216" s="282"/>
      <c r="C216" s="282"/>
      <c r="D216" s="282"/>
      <c r="E216" s="778"/>
      <c r="F216" s="282"/>
      <c r="G216" s="282"/>
      <c r="H216" s="282"/>
      <c r="I216" s="282"/>
      <c r="J216" s="282"/>
      <c r="K216" s="282"/>
      <c r="L216" s="282"/>
      <c r="M216" s="281"/>
      <c r="N216" s="281"/>
      <c r="O216" s="281"/>
      <c r="P216" s="281"/>
      <c r="Q216" s="281"/>
      <c r="R216" s="281"/>
      <c r="S216" s="281"/>
      <c r="T216" s="280"/>
      <c r="U216" s="280"/>
      <c r="V216" s="280"/>
      <c r="W216" s="280"/>
      <c r="X216" s="280"/>
      <c r="Y216" s="280"/>
      <c r="Z216" s="280"/>
      <c r="AA216" s="280"/>
      <c r="AB216" s="280"/>
      <c r="AC216" s="280"/>
    </row>
    <row r="217" spans="1:29" x14ac:dyDescent="0.25">
      <c r="A217" s="282"/>
      <c r="B217" s="282"/>
      <c r="C217" s="282"/>
      <c r="D217" s="282"/>
      <c r="E217" s="778"/>
      <c r="F217" s="282"/>
      <c r="G217" s="282"/>
      <c r="H217" s="282"/>
      <c r="I217" s="282"/>
      <c r="J217" s="282"/>
      <c r="K217" s="282"/>
      <c r="L217" s="282"/>
      <c r="M217" s="281"/>
      <c r="N217" s="281"/>
      <c r="O217" s="281"/>
      <c r="P217" s="281"/>
      <c r="Q217" s="281"/>
      <c r="R217" s="281"/>
      <c r="S217" s="281"/>
      <c r="T217" s="280"/>
      <c r="U217" s="280"/>
      <c r="V217" s="280"/>
      <c r="W217" s="280"/>
      <c r="X217" s="280"/>
      <c r="Y217" s="280"/>
      <c r="Z217" s="280"/>
      <c r="AA217" s="280"/>
      <c r="AB217" s="280"/>
      <c r="AC217" s="280"/>
    </row>
    <row r="218" spans="1:29" x14ac:dyDescent="0.25">
      <c r="A218" s="282"/>
      <c r="B218" s="282"/>
      <c r="C218" s="282"/>
      <c r="D218" s="282"/>
      <c r="E218" s="778"/>
      <c r="F218" s="282"/>
      <c r="G218" s="282"/>
      <c r="H218" s="282"/>
      <c r="I218" s="282"/>
      <c r="J218" s="282"/>
      <c r="K218" s="282"/>
      <c r="L218" s="282"/>
      <c r="M218" s="281"/>
      <c r="N218" s="281"/>
      <c r="O218" s="281"/>
      <c r="P218" s="281"/>
      <c r="Q218" s="281"/>
      <c r="R218" s="281"/>
      <c r="S218" s="281"/>
      <c r="T218" s="280"/>
      <c r="U218" s="280"/>
      <c r="V218" s="280"/>
      <c r="W218" s="280"/>
      <c r="X218" s="280"/>
      <c r="Y218" s="280"/>
      <c r="Z218" s="280"/>
      <c r="AA218" s="280"/>
      <c r="AB218" s="280"/>
      <c r="AC218" s="280"/>
    </row>
    <row r="219" spans="1:29" x14ac:dyDescent="0.25">
      <c r="A219" s="282"/>
      <c r="B219" s="282"/>
      <c r="C219" s="282"/>
      <c r="D219" s="282"/>
      <c r="E219" s="778"/>
      <c r="F219" s="282"/>
      <c r="G219" s="282"/>
      <c r="H219" s="282"/>
      <c r="I219" s="282"/>
      <c r="J219" s="282"/>
      <c r="K219" s="282"/>
      <c r="L219" s="282"/>
      <c r="M219" s="281"/>
      <c r="N219" s="281"/>
      <c r="O219" s="281"/>
      <c r="P219" s="281"/>
      <c r="Q219" s="281"/>
      <c r="R219" s="281"/>
      <c r="S219" s="281"/>
      <c r="T219" s="280"/>
      <c r="U219" s="280"/>
      <c r="V219" s="280"/>
      <c r="W219" s="280"/>
      <c r="X219" s="280"/>
      <c r="Y219" s="280"/>
      <c r="Z219" s="280"/>
      <c r="AA219" s="280"/>
      <c r="AB219" s="280"/>
      <c r="AC219" s="280"/>
    </row>
    <row r="220" spans="1:29" x14ac:dyDescent="0.25">
      <c r="A220" s="282"/>
      <c r="B220" s="282"/>
      <c r="C220" s="282"/>
      <c r="D220" s="282"/>
      <c r="E220" s="778"/>
      <c r="F220" s="282"/>
      <c r="G220" s="282"/>
      <c r="H220" s="282"/>
      <c r="I220" s="282"/>
      <c r="J220" s="282"/>
      <c r="K220" s="282"/>
      <c r="L220" s="282"/>
      <c r="M220" s="281"/>
      <c r="N220" s="281"/>
      <c r="O220" s="281"/>
      <c r="P220" s="281"/>
      <c r="Q220" s="281"/>
      <c r="R220" s="281"/>
      <c r="S220" s="281"/>
      <c r="T220" s="280"/>
      <c r="U220" s="280"/>
      <c r="V220" s="280"/>
      <c r="W220" s="280"/>
      <c r="X220" s="280"/>
      <c r="Y220" s="280"/>
      <c r="Z220" s="280"/>
      <c r="AA220" s="280"/>
      <c r="AB220" s="280"/>
      <c r="AC220" s="280"/>
    </row>
  </sheetData>
  <autoFilter ref="A1:AC65" xr:uid="{ECCAB7A8-FD8C-4068-B05B-795A852CB9D1}"/>
  <mergeCells count="73">
    <mergeCell ref="B13:B33"/>
    <mergeCell ref="C21:C33"/>
    <mergeCell ref="D14:D15"/>
    <mergeCell ref="D21:D22"/>
    <mergeCell ref="E25:E32"/>
    <mergeCell ref="D8:D12"/>
    <mergeCell ref="D25:D31"/>
    <mergeCell ref="C13:C20"/>
    <mergeCell ref="A65:H65"/>
    <mergeCell ref="AF82:AH84"/>
    <mergeCell ref="B34:B43"/>
    <mergeCell ref="N67:N68"/>
    <mergeCell ref="B59:B63"/>
    <mergeCell ref="A59:A63"/>
    <mergeCell ref="C59:C63"/>
    <mergeCell ref="F59:F63"/>
    <mergeCell ref="G59:G63"/>
    <mergeCell ref="A67:I68"/>
    <mergeCell ref="B44:B48"/>
    <mergeCell ref="C46:C48"/>
    <mergeCell ref="D59:D63"/>
    <mergeCell ref="G2:G6"/>
    <mergeCell ref="B50:B53"/>
    <mergeCell ref="C55:C58"/>
    <mergeCell ref="C50:C53"/>
    <mergeCell ref="C34:C42"/>
    <mergeCell ref="B55:B58"/>
    <mergeCell ref="C44:C45"/>
    <mergeCell ref="D16:D17"/>
    <mergeCell ref="E55:E57"/>
    <mergeCell ref="D55:D57"/>
    <mergeCell ref="D2:D6"/>
    <mergeCell ref="B2:B12"/>
    <mergeCell ref="C2:C12"/>
    <mergeCell ref="F2:F6"/>
    <mergeCell ref="F25:F32"/>
    <mergeCell ref="G25:G32"/>
    <mergeCell ref="AD70:AK70"/>
    <mergeCell ref="M65:N65"/>
    <mergeCell ref="G55:G57"/>
    <mergeCell ref="AJ96:AK118"/>
    <mergeCell ref="AF107:AI109"/>
    <mergeCell ref="AD89:AK89"/>
    <mergeCell ref="M67:M68"/>
    <mergeCell ref="AD85:AK85"/>
    <mergeCell ref="O59:O63"/>
    <mergeCell ref="AD119:AK119"/>
    <mergeCell ref="AD110:AI110"/>
    <mergeCell ref="AD114:AI114"/>
    <mergeCell ref="AD95:AK95"/>
    <mergeCell ref="AD94:AK94"/>
    <mergeCell ref="E10:E12"/>
    <mergeCell ref="F21:F22"/>
    <mergeCell ref="F16:F17"/>
    <mergeCell ref="G16:G17"/>
    <mergeCell ref="E14:E15"/>
    <mergeCell ref="F14:F15"/>
    <mergeCell ref="G21:G22"/>
    <mergeCell ref="M8:M12"/>
    <mergeCell ref="G8:G12"/>
    <mergeCell ref="G14:G15"/>
    <mergeCell ref="F8:F12"/>
    <mergeCell ref="X74:Y76"/>
    <mergeCell ref="X71:Y73"/>
    <mergeCell ref="V74:W76"/>
    <mergeCell ref="V71:W73"/>
    <mergeCell ref="N9:N12"/>
    <mergeCell ref="O25:O32"/>
    <mergeCell ref="O21:O22"/>
    <mergeCell ref="N21:N22"/>
    <mergeCell ref="V70:Y70"/>
    <mergeCell ref="M21:M22"/>
    <mergeCell ref="M14:M15"/>
  </mergeCells>
  <conditionalFormatting sqref="N2:N8 N55:N63 N13:N21 N24 N34:N38 N42:N52">
    <cfRule type="containsText" dxfId="30" priority="191" operator="containsText" text="Completed">
      <formula>NOT(ISERROR(SEARCH("Completed",N2)))</formula>
    </cfRule>
  </conditionalFormatting>
  <conditionalFormatting sqref="N1:N8 N55:N63 N13:N21 N24 N34:N38 N42:N52">
    <cfRule type="containsText" dxfId="29" priority="190" operator="containsText" text="Delayed">
      <formula>NOT(ISERROR(SEARCH("Delayed",N1)))</formula>
    </cfRule>
  </conditionalFormatting>
  <conditionalFormatting sqref="M45">
    <cfRule type="containsText" dxfId="28" priority="167" operator="containsText" text="Completed">
      <formula>NOT(ISERROR(SEARCH("Completed",M45)))</formula>
    </cfRule>
  </conditionalFormatting>
  <conditionalFormatting sqref="M45">
    <cfRule type="containsText" dxfId="27" priority="166" operator="containsText" text="Delayed">
      <formula>NOT(ISERROR(SEARCH("Delayed",M45)))</formula>
    </cfRule>
  </conditionalFormatting>
  <conditionalFormatting sqref="N1:N8 N55:N63 N13:N21 N24 N34:N38 N42:N52">
    <cfRule type="containsText" dxfId="26" priority="149" operator="containsText" text="Pending">
      <formula>NOT(ISERROR(SEARCH("Pending",N1)))</formula>
    </cfRule>
  </conditionalFormatting>
  <conditionalFormatting sqref="N42:N43">
    <cfRule type="containsText" dxfId="25" priority="144" operator="containsText" text="Completed">
      <formula>NOT(ISERROR(SEARCH("Completed",N42)))</formula>
    </cfRule>
  </conditionalFormatting>
  <conditionalFormatting sqref="N42:N43">
    <cfRule type="containsText" dxfId="24" priority="143" operator="containsText" text="Delayed">
      <formula>NOT(ISERROR(SEARCH("Delayed",N42)))</formula>
    </cfRule>
  </conditionalFormatting>
  <conditionalFormatting sqref="N45:N49">
    <cfRule type="containsText" dxfId="23" priority="138" operator="containsText" text="Completed">
      <formula>NOT(ISERROR(SEARCH("Completed",N45)))</formula>
    </cfRule>
  </conditionalFormatting>
  <conditionalFormatting sqref="N45:N49">
    <cfRule type="containsText" dxfId="22" priority="137" operator="containsText" text="Delayed">
      <formula>NOT(ISERROR(SEARCH("Delayed",N45)))</formula>
    </cfRule>
  </conditionalFormatting>
  <conditionalFormatting sqref="N45:N49">
    <cfRule type="containsText" dxfId="21" priority="136" operator="containsText" text="Completed">
      <formula>NOT(ISERROR(SEARCH("Completed",N45)))</formula>
    </cfRule>
  </conditionalFormatting>
  <conditionalFormatting sqref="N45:N49">
    <cfRule type="containsText" dxfId="20" priority="135" operator="containsText" text="Delayed">
      <formula>NOT(ISERROR(SEARCH("Delayed",N45)))</formula>
    </cfRule>
  </conditionalFormatting>
  <conditionalFormatting sqref="N9">
    <cfRule type="containsText" dxfId="19" priority="134" operator="containsText" text="Completed">
      <formula>NOT(ISERROR(SEARCH("Completed",N9)))</formula>
    </cfRule>
  </conditionalFormatting>
  <conditionalFormatting sqref="N9">
    <cfRule type="containsText" dxfId="18" priority="133" operator="containsText" text="Delayed">
      <formula>NOT(ISERROR(SEARCH("Delayed",N9)))</formula>
    </cfRule>
  </conditionalFormatting>
  <conditionalFormatting sqref="N9">
    <cfRule type="containsText" dxfId="17" priority="132" operator="containsText" text="Pending">
      <formula>NOT(ISERROR(SEARCH("Pending",N9)))</formula>
    </cfRule>
  </conditionalFormatting>
  <conditionalFormatting sqref="N39:N41">
    <cfRule type="containsText" dxfId="16" priority="119" operator="containsText" text="Completed">
      <formula>NOT(ISERROR(SEARCH("Completed",N39)))</formula>
    </cfRule>
  </conditionalFormatting>
  <conditionalFormatting sqref="N39:N41">
    <cfRule type="containsText" dxfId="15" priority="118" operator="containsText" text="Delayed">
      <formula>NOT(ISERROR(SEARCH("Delayed",N39)))</formula>
    </cfRule>
  </conditionalFormatting>
  <conditionalFormatting sqref="N39:N41">
    <cfRule type="containsText" dxfId="14" priority="117" operator="containsText" text="Pending">
      <formula>NOT(ISERROR(SEARCH("Pending",N39)))</formula>
    </cfRule>
  </conditionalFormatting>
  <conditionalFormatting sqref="N53:N54">
    <cfRule type="containsText" dxfId="13" priority="66" operator="containsText" text="Completed">
      <formula>NOT(ISERROR(SEARCH("Completed",N53)))</formula>
    </cfRule>
  </conditionalFormatting>
  <conditionalFormatting sqref="N53:N54">
    <cfRule type="containsText" dxfId="12" priority="65" operator="containsText" text="Delayed">
      <formula>NOT(ISERROR(SEARCH("Delayed",N53)))</formula>
    </cfRule>
  </conditionalFormatting>
  <conditionalFormatting sqref="N53:N54">
    <cfRule type="containsText" dxfId="11" priority="62" operator="containsText" text="Pending">
      <formula>NOT(ISERROR(SEARCH("Pending",N53)))</formula>
    </cfRule>
  </conditionalFormatting>
  <conditionalFormatting sqref="AI93:AJ93 AI72:AJ79">
    <cfRule type="colorScale" priority="348">
      <colorScale>
        <cfvo type="min"/>
        <cfvo type="percentile" val="50"/>
        <cfvo type="max"/>
        <color rgb="FFF8696B"/>
        <color rgb="FFFFEB84"/>
        <color rgb="FF63BE7B"/>
      </colorScale>
    </cfRule>
  </conditionalFormatting>
  <conditionalFormatting sqref="AI82:AJ84 AJ86:AJ88 AJ90:AJ92">
    <cfRule type="colorScale" priority="350">
      <colorScale>
        <cfvo type="min"/>
        <cfvo type="percentile" val="50"/>
        <cfvo type="max"/>
        <color rgb="FFF8696B"/>
        <color rgb="FFFFEB84"/>
        <color rgb="FF63BE7B"/>
      </colorScale>
    </cfRule>
  </conditionalFormatting>
  <conditionalFormatting sqref="AI120:AI1048576 AI95:AI103 AI110:AI118 AI1:AI49 AI51:AI79 AI82:AI93">
    <cfRule type="colorScale" priority="35">
      <colorScale>
        <cfvo type="min"/>
        <cfvo type="percentile" val="50"/>
        <cfvo type="max"/>
        <color rgb="FFF8696B"/>
        <color rgb="FFFFEB84"/>
        <color rgb="FF63BE7B"/>
      </colorScale>
    </cfRule>
  </conditionalFormatting>
  <conditionalFormatting sqref="AJ120:AJ1048576 AJ95:AJ118 AJ1:AJ79 AJ82:AJ93">
    <cfRule type="colorScale" priority="34">
      <colorScale>
        <cfvo type="min"/>
        <cfvo type="percentile" val="50"/>
        <cfvo type="max"/>
        <color rgb="FFF8696B"/>
        <color rgb="FFFFEB84"/>
        <color rgb="FF63BE7B"/>
      </colorScale>
    </cfRule>
  </conditionalFormatting>
  <conditionalFormatting sqref="AI104">
    <cfRule type="colorScale" priority="30">
      <colorScale>
        <cfvo type="min"/>
        <cfvo type="percentile" val="50"/>
        <cfvo type="max"/>
        <color rgb="FFF8696B"/>
        <color rgb="FFFFEB84"/>
        <color rgb="FF63BE7B"/>
      </colorScale>
    </cfRule>
  </conditionalFormatting>
  <conditionalFormatting sqref="AI80:AJ81">
    <cfRule type="colorScale" priority="26">
      <colorScale>
        <cfvo type="min"/>
        <cfvo type="percentile" val="50"/>
        <cfvo type="max"/>
        <color rgb="FFF8696B"/>
        <color rgb="FFFFEB84"/>
        <color rgb="FF63BE7B"/>
      </colorScale>
    </cfRule>
  </conditionalFormatting>
  <conditionalFormatting sqref="AI80:AI81">
    <cfRule type="colorScale" priority="25">
      <colorScale>
        <cfvo type="min"/>
        <cfvo type="percentile" val="50"/>
        <cfvo type="max"/>
        <color rgb="FFF8696B"/>
        <color rgb="FFFFEB84"/>
        <color rgb="FF63BE7B"/>
      </colorScale>
    </cfRule>
  </conditionalFormatting>
  <conditionalFormatting sqref="AJ80:AJ81">
    <cfRule type="colorScale" priority="24">
      <colorScale>
        <cfvo type="min"/>
        <cfvo type="percentile" val="50"/>
        <cfvo type="max"/>
        <color rgb="FFF8696B"/>
        <color rgb="FFFFEB84"/>
        <color rgb="FF63BE7B"/>
      </colorScale>
    </cfRule>
  </conditionalFormatting>
  <conditionalFormatting sqref="AI105:AI106">
    <cfRule type="colorScale" priority="23">
      <colorScale>
        <cfvo type="min"/>
        <cfvo type="percentile" val="50"/>
        <cfvo type="max"/>
        <color rgb="FFF8696B"/>
        <color rgb="FFFFEB84"/>
        <color rgb="FF63BE7B"/>
      </colorScale>
    </cfRule>
  </conditionalFormatting>
  <conditionalFormatting sqref="N25:N33">
    <cfRule type="containsText" dxfId="10" priority="22" operator="containsText" text="Completed">
      <formula>NOT(ISERROR(SEARCH("Completed",N25)))</formula>
    </cfRule>
  </conditionalFormatting>
  <conditionalFormatting sqref="N25:N33">
    <cfRule type="containsText" dxfId="9" priority="21" operator="containsText" text="Delayed">
      <formula>NOT(ISERROR(SEARCH("Delayed",N25)))</formula>
    </cfRule>
  </conditionalFormatting>
  <conditionalFormatting sqref="N25:N33">
    <cfRule type="containsText" dxfId="8" priority="20" operator="containsText" text="Pending">
      <formula>NOT(ISERROR(SEARCH("Pending",N25)))</formula>
    </cfRule>
  </conditionalFormatting>
  <conditionalFormatting sqref="N23">
    <cfRule type="containsText" dxfId="7" priority="19" operator="containsText" text="Completed">
      <formula>NOT(ISERROR(SEARCH("Completed",N23)))</formula>
    </cfRule>
  </conditionalFormatting>
  <conditionalFormatting sqref="N23">
    <cfRule type="containsText" dxfId="6" priority="18" operator="containsText" text="Delayed">
      <formula>NOT(ISERROR(SEARCH("Delayed",N23)))</formula>
    </cfRule>
  </conditionalFormatting>
  <conditionalFormatting sqref="N23">
    <cfRule type="containsText" dxfId="5" priority="17" operator="containsText" text="Pending">
      <formula>NOT(ISERROR(SEARCH("Pending",N23)))</formula>
    </cfRule>
  </conditionalFormatting>
  <conditionalFormatting sqref="N64">
    <cfRule type="containsText" dxfId="4" priority="16" operator="containsText" text="Completed">
      <formula>NOT(ISERROR(SEARCH("Completed",N64)))</formula>
    </cfRule>
  </conditionalFormatting>
  <conditionalFormatting sqref="N64">
    <cfRule type="containsText" dxfId="3" priority="15" operator="containsText" text="Delayed">
      <formula>NOT(ISERROR(SEARCH("Delayed",N64)))</formula>
    </cfRule>
  </conditionalFormatting>
  <conditionalFormatting sqref="N64">
    <cfRule type="containsText" dxfId="2" priority="14" operator="containsText" text="Pending">
      <formula>NOT(ISERROR(SEARCH("Pending",N64)))</formula>
    </cfRule>
  </conditionalFormatting>
  <conditionalFormatting sqref="AI50">
    <cfRule type="colorScale" priority="10">
      <colorScale>
        <cfvo type="min"/>
        <cfvo type="percentile" val="50"/>
        <cfvo type="max"/>
        <color rgb="FFF8696B"/>
        <color rgb="FFFFEB84"/>
        <color rgb="FF63BE7B"/>
      </colorScale>
    </cfRule>
  </conditionalFormatting>
  <conditionalFormatting sqref="O1">
    <cfRule type="containsText" dxfId="1" priority="9" operator="containsText" text="Delayed">
      <formula>NOT(ISERROR(SEARCH("Delayed",O1)))</formula>
    </cfRule>
  </conditionalFormatting>
  <conditionalFormatting sqref="O1">
    <cfRule type="containsText" dxfId="0" priority="8" operator="containsText" text="Pending">
      <formula>NOT(ISERROR(SEARCH("Pending",O1)))</formula>
    </cfRule>
  </conditionalFormatting>
  <conditionalFormatting sqref="W79:W86">
    <cfRule type="colorScale" priority="7">
      <colorScale>
        <cfvo type="min"/>
        <cfvo type="percentile" val="50"/>
        <cfvo type="max"/>
        <color rgb="FFF8696B"/>
        <color rgb="FFFFEB84"/>
        <color rgb="FF63BE7B"/>
      </colorScale>
    </cfRule>
  </conditionalFormatting>
  <conditionalFormatting sqref="W79:W86">
    <cfRule type="colorScale" priority="6">
      <colorScale>
        <cfvo type="min"/>
        <cfvo type="percentile" val="50"/>
        <cfvo type="max"/>
        <color rgb="FFF8696B"/>
        <color rgb="FFFFEB84"/>
        <color rgb="FF63BE7B"/>
      </colorScale>
    </cfRule>
  </conditionalFormatting>
  <conditionalFormatting sqref="W87:W88">
    <cfRule type="colorScale" priority="5">
      <colorScale>
        <cfvo type="min"/>
        <cfvo type="percentile" val="50"/>
        <cfvo type="max"/>
        <color rgb="FFF8696B"/>
        <color rgb="FFFFEB84"/>
        <color rgb="FF63BE7B"/>
      </colorScale>
    </cfRule>
  </conditionalFormatting>
  <conditionalFormatting sqref="W87:W88">
    <cfRule type="colorScale" priority="4">
      <colorScale>
        <cfvo type="min"/>
        <cfvo type="percentile" val="50"/>
        <cfvo type="max"/>
        <color rgb="FFF8696B"/>
        <color rgb="FFFFEB84"/>
        <color rgb="FF63BE7B"/>
      </colorScale>
    </cfRule>
  </conditionalFormatting>
  <conditionalFormatting sqref="Y79:Y85">
    <cfRule type="colorScale" priority="3">
      <colorScale>
        <cfvo type="min"/>
        <cfvo type="percentile" val="50"/>
        <cfvo type="max"/>
        <color rgb="FFF8696B"/>
        <color rgb="FFFFEB84"/>
        <color rgb="FF63BE7B"/>
      </colorScale>
    </cfRule>
  </conditionalFormatting>
  <conditionalFormatting sqref="Y86">
    <cfRule type="colorScale" priority="2">
      <colorScale>
        <cfvo type="min"/>
        <cfvo type="percentile" val="50"/>
        <cfvo type="max"/>
        <color rgb="FFF8696B"/>
        <color rgb="FFFFEB84"/>
        <color rgb="FF63BE7B"/>
      </colorScale>
    </cfRule>
  </conditionalFormatting>
  <conditionalFormatting sqref="Y87:Y88">
    <cfRule type="colorScale" priority="1">
      <colorScale>
        <cfvo type="min"/>
        <cfvo type="percentile" val="50"/>
        <cfvo type="max"/>
        <color rgb="FFF8696B"/>
        <color rgb="FFFFEB84"/>
        <color rgb="FF63BE7B"/>
      </colorScale>
    </cfRule>
  </conditionalFormatting>
  <dataValidations disablePrompts="1" count="1">
    <dataValidation type="list" allowBlank="1" showErrorMessage="1" error="Sellect from the list" sqref="N13:N21 N23:N64 N1:N9" xr:uid="{6CCE4ADB-4F5A-4C73-BE38-EDDCF38A1605}">
      <formula1>"Completed,In Progress,Delayed, Pending"</formula1>
    </dataValidation>
  </dataValidations>
  <pageMargins left="0" right="0" top="0" bottom="0" header="0" footer="0"/>
  <pageSetup paperSize="8" scale="40" orientation="landscape" r:id="rId1"/>
  <colBreaks count="1" manualBreakCount="1">
    <brk id="12" max="81" man="1"/>
  </col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5E5CBF6C-1692-4AF5-90C8-C71BD1690295}">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40C3E904-2947-43FC-BAE1-ED628833EC16}">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Under production Orders</vt:lpstr>
      <vt:lpstr>Invoicing plan 2026</vt:lpstr>
      <vt:lpstr>'Invoicing plan 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2026-07-06T13:26:46Z</dcterms:modified>
</cp:coreProperties>
</file>